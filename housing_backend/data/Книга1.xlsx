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housing_backend\data\"/>
    </mc:Choice>
  </mc:AlternateContent>
  <xr:revisionPtr revIDLastSave="0" documentId="13_ncr:1_{D974EEE3-0781-48CA-A9BA-7AA6225E6AC6}" xr6:coauthVersionLast="47" xr6:coauthVersionMax="47" xr10:uidLastSave="{00000000-0000-0000-0000-000000000000}"/>
  <bookViews>
    <workbookView xWindow="-120" yWindow="-120" windowWidth="29040" windowHeight="15720" xr2:uid="{D800EAF5-634D-44B5-8A08-612A779D9E1A}"/>
  </bookViews>
  <sheets>
    <sheet name="2026 июль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'2026 июль'!$A$1:$BD$140</definedName>
    <definedName name="AS2DocOpenMode" hidden="1">"AS2DocumentEdit"</definedName>
    <definedName name="TextRefCopyRangeCount" hidden="1">3</definedName>
    <definedName name="wrn.Сравнение._.с._.отраслями." hidden="1">{#N/A,#N/A,TRUE,"Лист1";#N/A,#N/A,TRUE,"Лист2";#N/A,#N/A,TRUE,"Лист3"}</definedName>
    <definedName name="Z_C37E65A7_9893_435E_9759_72E0D8A5DD87_.wvu.PrintTitles" hidden="1">#REF!</definedName>
    <definedName name="вуув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Кегок2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КурсСША">[1]Исход!$B$11</definedName>
    <definedName name="Месячный_расчетный_показатель_2015">'[2]Исх.дан.'!$B$2</definedName>
    <definedName name="Минимальный_размер_заработной_платы_на_2015">'[2]Исх.дан.'!$B$3</definedName>
    <definedName name="МРЗП_2016">'[3]Исх.дан.'!$B$3</definedName>
    <definedName name="МРЗП_2017">'[4]Исх.дан.'!$B$3</definedName>
    <definedName name="мрп">[5]Исход!$B$2</definedName>
    <definedName name="НДC">[6]Исход!$B$3</definedName>
    <definedName name="ОСМСотч_2017">'[4]Исх.дан.'!$B$9</definedName>
    <definedName name="прибыль3" hidden="1">{#N/A,#N/A,TRUE,"Лист1";#N/A,#N/A,TRUE,"Лист2";#N/A,#N/A,TRUE,"Лист3"}</definedName>
    <definedName name="РабДней">[1]Исход!$B$12</definedName>
    <definedName name="рис1" hidden="1">{#N/A,#N/A,TRUE,"Лист1";#N/A,#N/A,TRUE,"Лист2";#N/A,#N/A,TRUE,"Лист3"}</definedName>
    <definedName name="рол" hidden="1">{#N/A,#N/A,TRUE,"Лист1";#N/A,#N/A,TRUE,"Лист2";#N/A,#N/A,TRUE,"Лист3"}</definedName>
    <definedName name="тп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ф11" hidden="1">{#N/A,#N/A,TRUE,"Лист1";#N/A,#N/A,TRUE,"Лист2";#N/A,#N/A,TRUE,"Лист3"}</definedName>
    <definedName name="х" hidden="1">{#N/A,#N/A,TRUE,"Лист1";#N/A,#N/A,TRUE,"Лист2";#N/A,#N/A,TRUE,"Лист3"}</definedName>
    <definedName name="ыва" hidden="1">{#N/A,#N/A,TRUE,"Лист1";#N/A,#N/A,TRUE,"Лист2";#N/A,#N/A,TRUE,"Лист3"}</definedName>
    <definedName name="ыуаы" hidden="1">{#N/A,#N/A,TRUE,"Лист1";#N/A,#N/A,TRUE,"Лист2";#N/A,#N/A,TRUE,"Лист3"}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72" i="1" l="1"/>
  <c r="AI171" i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F171" i="1"/>
  <c r="AV171" i="1" s="1"/>
  <c r="AX171" i="1" s="1"/>
  <c r="AE171" i="1"/>
  <c r="AD171" i="1"/>
  <c r="AB171" i="1"/>
  <c r="AC171" i="1" s="1"/>
  <c r="M171" i="1"/>
  <c r="AG171" i="1" s="1"/>
  <c r="AH171" i="1" s="1"/>
  <c r="AL170" i="1"/>
  <c r="AM170" i="1" s="1"/>
  <c r="AN170" i="1" s="1"/>
  <c r="AO170" i="1" s="1"/>
  <c r="AP170" i="1" s="1"/>
  <c r="AQ170" i="1" s="1"/>
  <c r="AR170" i="1" s="1"/>
  <c r="AS170" i="1" s="1"/>
  <c r="AF170" i="1"/>
  <c r="AV170" i="1" s="1"/>
  <c r="AX170" i="1" s="1"/>
  <c r="AD170" i="1"/>
  <c r="AE170" i="1" s="1"/>
  <c r="AB170" i="1"/>
  <c r="AC170" i="1" s="1"/>
  <c r="M170" i="1"/>
  <c r="AG170" i="1" s="1"/>
  <c r="AH170" i="1" s="1"/>
  <c r="AI170" i="1" s="1"/>
  <c r="AJ170" i="1" s="1"/>
  <c r="AK170" i="1" s="1"/>
  <c r="AI169" i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F169" i="1"/>
  <c r="AV169" i="1" s="1"/>
  <c r="AX169" i="1" s="1"/>
  <c r="AB169" i="1"/>
  <c r="AC169" i="1" s="1"/>
  <c r="AD169" i="1" s="1"/>
  <c r="AE169" i="1" s="1"/>
  <c r="M169" i="1"/>
  <c r="AG169" i="1" s="1"/>
  <c r="AH169" i="1" s="1"/>
  <c r="AI168" i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F168" i="1"/>
  <c r="AV168" i="1" s="1"/>
  <c r="AX168" i="1" s="1"/>
  <c r="AD168" i="1"/>
  <c r="AE168" i="1" s="1"/>
  <c r="AB168" i="1"/>
  <c r="AC168" i="1" s="1"/>
  <c r="M168" i="1"/>
  <c r="AG168" i="1" s="1"/>
  <c r="AH168" i="1" s="1"/>
  <c r="AI167" i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F167" i="1"/>
  <c r="AV167" i="1" s="1"/>
  <c r="AX167" i="1" s="1"/>
  <c r="AB167" i="1"/>
  <c r="AC167" i="1" s="1"/>
  <c r="AD167" i="1" s="1"/>
  <c r="AE167" i="1" s="1"/>
  <c r="M167" i="1"/>
  <c r="AG167" i="1" s="1"/>
  <c r="AH167" i="1" s="1"/>
  <c r="AF166" i="1"/>
  <c r="AV166" i="1" s="1"/>
  <c r="AX166" i="1" s="1"/>
  <c r="AD166" i="1"/>
  <c r="AE166" i="1" s="1"/>
  <c r="AB166" i="1"/>
  <c r="AC166" i="1" s="1"/>
  <c r="M166" i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L165" i="1"/>
  <c r="AM165" i="1" s="1"/>
  <c r="AJ165" i="1"/>
  <c r="AK165" i="1" s="1"/>
  <c r="AI165" i="1"/>
  <c r="AF165" i="1"/>
  <c r="AV165" i="1" s="1"/>
  <c r="AX165" i="1" s="1"/>
  <c r="AB165" i="1"/>
  <c r="AC165" i="1" s="1"/>
  <c r="AD165" i="1" s="1"/>
  <c r="AE165" i="1" s="1"/>
  <c r="M165" i="1"/>
  <c r="AG165" i="1" s="1"/>
  <c r="AH165" i="1" s="1"/>
  <c r="AF164" i="1"/>
  <c r="AV164" i="1" s="1"/>
  <c r="AX164" i="1" s="1"/>
  <c r="AB164" i="1"/>
  <c r="AC164" i="1" s="1"/>
  <c r="AD164" i="1" s="1"/>
  <c r="AE164" i="1" s="1"/>
  <c r="M164" i="1"/>
  <c r="AG164" i="1" s="1"/>
  <c r="AI163" i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F163" i="1"/>
  <c r="AV163" i="1" s="1"/>
  <c r="AX163" i="1" s="1"/>
  <c r="AB163" i="1"/>
  <c r="AC163" i="1" s="1"/>
  <c r="AD163" i="1" s="1"/>
  <c r="AE163" i="1" s="1"/>
  <c r="M163" i="1"/>
  <c r="AG163" i="1" s="1"/>
  <c r="AH163" i="1" s="1"/>
  <c r="AR162" i="1"/>
  <c r="AS162" i="1" s="1"/>
  <c r="AJ162" i="1"/>
  <c r="AK162" i="1" s="1"/>
  <c r="AL162" i="1" s="1"/>
  <c r="AM162" i="1" s="1"/>
  <c r="AN162" i="1" s="1"/>
  <c r="AO162" i="1" s="1"/>
  <c r="AP162" i="1" s="1"/>
  <c r="AQ162" i="1" s="1"/>
  <c r="AI162" i="1"/>
  <c r="AF162" i="1"/>
  <c r="AV162" i="1" s="1"/>
  <c r="AX162" i="1" s="1"/>
  <c r="AD162" i="1"/>
  <c r="AE162" i="1" s="1"/>
  <c r="AB162" i="1"/>
  <c r="AC162" i="1" s="1"/>
  <c r="M162" i="1"/>
  <c r="AG162" i="1" s="1"/>
  <c r="AH162" i="1" s="1"/>
  <c r="AF161" i="1"/>
  <c r="AV161" i="1" s="1"/>
  <c r="AX161" i="1" s="1"/>
  <c r="AE161" i="1"/>
  <c r="AD161" i="1"/>
  <c r="AB161" i="1"/>
  <c r="AC161" i="1" s="1"/>
  <c r="M161" i="1"/>
  <c r="AG161" i="1" s="1"/>
  <c r="AI160" i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F160" i="1"/>
  <c r="AV160" i="1" s="1"/>
  <c r="AX160" i="1" s="1"/>
  <c r="AD160" i="1"/>
  <c r="AE160" i="1" s="1"/>
  <c r="AB160" i="1"/>
  <c r="AC160" i="1" s="1"/>
  <c r="M160" i="1"/>
  <c r="AG160" i="1" s="1"/>
  <c r="AH160" i="1" s="1"/>
  <c r="AQ159" i="1"/>
  <c r="AR159" i="1" s="1"/>
  <c r="AS159" i="1" s="1"/>
  <c r="AI159" i="1"/>
  <c r="AJ159" i="1" s="1"/>
  <c r="AK159" i="1" s="1"/>
  <c r="AL159" i="1" s="1"/>
  <c r="AM159" i="1" s="1"/>
  <c r="AN159" i="1" s="1"/>
  <c r="AO159" i="1" s="1"/>
  <c r="AP159" i="1" s="1"/>
  <c r="AF159" i="1"/>
  <c r="AV159" i="1" s="1"/>
  <c r="AX159" i="1" s="1"/>
  <c r="AB159" i="1"/>
  <c r="AC159" i="1" s="1"/>
  <c r="AD159" i="1" s="1"/>
  <c r="AE159" i="1" s="1"/>
  <c r="M159" i="1"/>
  <c r="AG159" i="1" s="1"/>
  <c r="AH159" i="1" s="1"/>
  <c r="AJ158" i="1"/>
  <c r="AK158" i="1" s="1"/>
  <c r="AL158" i="1" s="1"/>
  <c r="AM158" i="1" s="1"/>
  <c r="AN158" i="1" s="1"/>
  <c r="AO158" i="1" s="1"/>
  <c r="AP158" i="1" s="1"/>
  <c r="AQ158" i="1" s="1"/>
  <c r="AR158" i="1" s="1"/>
  <c r="AS158" i="1" s="1"/>
  <c r="AF158" i="1"/>
  <c r="AV158" i="1" s="1"/>
  <c r="AX158" i="1" s="1"/>
  <c r="AD158" i="1"/>
  <c r="AE158" i="1" s="1"/>
  <c r="AB158" i="1"/>
  <c r="AC158" i="1" s="1"/>
  <c r="M158" i="1"/>
  <c r="AG158" i="1" s="1"/>
  <c r="AH158" i="1" s="1"/>
  <c r="AI158" i="1" s="1"/>
  <c r="AL157" i="1"/>
  <c r="AM157" i="1" s="1"/>
  <c r="AN157" i="1" s="1"/>
  <c r="AO157" i="1" s="1"/>
  <c r="AP157" i="1" s="1"/>
  <c r="AQ157" i="1" s="1"/>
  <c r="AR157" i="1" s="1"/>
  <c r="AS157" i="1" s="1"/>
  <c r="AJ157" i="1"/>
  <c r="AK157" i="1" s="1"/>
  <c r="AI157" i="1"/>
  <c r="AF157" i="1"/>
  <c r="AV157" i="1" s="1"/>
  <c r="AX157" i="1" s="1"/>
  <c r="AE157" i="1"/>
  <c r="AB157" i="1"/>
  <c r="AC157" i="1" s="1"/>
  <c r="AD157" i="1" s="1"/>
  <c r="M157" i="1"/>
  <c r="AG157" i="1" s="1"/>
  <c r="AH157" i="1" s="1"/>
  <c r="AF156" i="1"/>
  <c r="AV156" i="1" s="1"/>
  <c r="AX156" i="1" s="1"/>
  <c r="AB156" i="1"/>
  <c r="AC156" i="1" s="1"/>
  <c r="AD156" i="1" s="1"/>
  <c r="AE156" i="1" s="1"/>
  <c r="M156" i="1"/>
  <c r="AG156" i="1" s="1"/>
  <c r="AJ155" i="1"/>
  <c r="AK155" i="1" s="1"/>
  <c r="AL155" i="1" s="1"/>
  <c r="AM155" i="1" s="1"/>
  <c r="AN155" i="1" s="1"/>
  <c r="AO155" i="1" s="1"/>
  <c r="AP155" i="1" s="1"/>
  <c r="AQ155" i="1" s="1"/>
  <c r="AR155" i="1" s="1"/>
  <c r="AS155" i="1" s="1"/>
  <c r="AI155" i="1"/>
  <c r="AF155" i="1"/>
  <c r="AV155" i="1" s="1"/>
  <c r="AX155" i="1" s="1"/>
  <c r="AB155" i="1"/>
  <c r="AC155" i="1" s="1"/>
  <c r="AD155" i="1" s="1"/>
  <c r="AE155" i="1" s="1"/>
  <c r="M155" i="1"/>
  <c r="AG155" i="1" s="1"/>
  <c r="AH155" i="1" s="1"/>
  <c r="AF154" i="1"/>
  <c r="AV154" i="1" s="1"/>
  <c r="AX154" i="1" s="1"/>
  <c r="AE154" i="1"/>
  <c r="AD154" i="1"/>
  <c r="AB154" i="1"/>
  <c r="AC154" i="1" s="1"/>
  <c r="M154" i="1"/>
  <c r="AG154" i="1" s="1"/>
  <c r="AF153" i="1"/>
  <c r="AV153" i="1" s="1"/>
  <c r="AX153" i="1" s="1"/>
  <c r="AB153" i="1"/>
  <c r="AC153" i="1" s="1"/>
  <c r="AD153" i="1" s="1"/>
  <c r="AE153" i="1" s="1"/>
  <c r="M153" i="1"/>
  <c r="AG153" i="1" s="1"/>
  <c r="AF152" i="1"/>
  <c r="AV152" i="1" s="1"/>
  <c r="AX152" i="1" s="1"/>
  <c r="AB152" i="1"/>
  <c r="AC152" i="1" s="1"/>
  <c r="AD152" i="1" s="1"/>
  <c r="AE152" i="1" s="1"/>
  <c r="M152" i="1"/>
  <c r="AG152" i="1" s="1"/>
  <c r="AV151" i="1"/>
  <c r="AX151" i="1" s="1"/>
  <c r="AF151" i="1"/>
  <c r="AE151" i="1"/>
  <c r="AD151" i="1"/>
  <c r="AB151" i="1"/>
  <c r="AC151" i="1" s="1"/>
  <c r="M151" i="1"/>
  <c r="AG151" i="1" s="1"/>
  <c r="AV150" i="1"/>
  <c r="AX150" i="1" s="1"/>
  <c r="AF150" i="1"/>
  <c r="AD150" i="1"/>
  <c r="AE150" i="1" s="1"/>
  <c r="AB150" i="1"/>
  <c r="AC150" i="1" s="1"/>
  <c r="M150" i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V149" i="1"/>
  <c r="AX149" i="1" s="1"/>
  <c r="AJ149" i="1"/>
  <c r="AK149" i="1" s="1"/>
  <c r="AL149" i="1" s="1"/>
  <c r="AM149" i="1" s="1"/>
  <c r="AN149" i="1" s="1"/>
  <c r="AO149" i="1" s="1"/>
  <c r="AP149" i="1" s="1"/>
  <c r="AQ149" i="1" s="1"/>
  <c r="AR149" i="1" s="1"/>
  <c r="AS149" i="1" s="1"/>
  <c r="AI149" i="1"/>
  <c r="AF149" i="1"/>
  <c r="AB149" i="1"/>
  <c r="AC149" i="1" s="1"/>
  <c r="AD149" i="1" s="1"/>
  <c r="AE149" i="1" s="1"/>
  <c r="M149" i="1"/>
  <c r="AG149" i="1" s="1"/>
  <c r="AH149" i="1" s="1"/>
  <c r="AF148" i="1"/>
  <c r="AV148" i="1" s="1"/>
  <c r="AX148" i="1" s="1"/>
  <c r="AE148" i="1"/>
  <c r="AD148" i="1"/>
  <c r="AB148" i="1"/>
  <c r="AC148" i="1" s="1"/>
  <c r="M148" i="1"/>
  <c r="AG148" i="1" s="1"/>
  <c r="AF147" i="1"/>
  <c r="AV147" i="1" s="1"/>
  <c r="AX147" i="1" s="1"/>
  <c r="AE147" i="1"/>
  <c r="AD147" i="1"/>
  <c r="AB147" i="1"/>
  <c r="AC147" i="1" s="1"/>
  <c r="M147" i="1"/>
  <c r="AG147" i="1" s="1"/>
  <c r="AV146" i="1"/>
  <c r="AX146" i="1" s="1"/>
  <c r="AQ146" i="1"/>
  <c r="AR146" i="1" s="1"/>
  <c r="AS146" i="1" s="1"/>
  <c r="AJ146" i="1"/>
  <c r="AK146" i="1" s="1"/>
  <c r="AL146" i="1" s="1"/>
  <c r="AM146" i="1" s="1"/>
  <c r="AN146" i="1" s="1"/>
  <c r="AO146" i="1" s="1"/>
  <c r="AP146" i="1" s="1"/>
  <c r="AI146" i="1"/>
  <c r="AF146" i="1"/>
  <c r="AD146" i="1"/>
  <c r="AE146" i="1" s="1"/>
  <c r="AB146" i="1"/>
  <c r="AC146" i="1" s="1"/>
  <c r="M146" i="1"/>
  <c r="AG146" i="1" s="1"/>
  <c r="AH146" i="1" s="1"/>
  <c r="AQ145" i="1"/>
  <c r="AR145" i="1" s="1"/>
  <c r="AS145" i="1" s="1"/>
  <c r="AF145" i="1"/>
  <c r="AV145" i="1" s="1"/>
  <c r="AX145" i="1" s="1"/>
  <c r="AD145" i="1"/>
  <c r="AE145" i="1" s="1"/>
  <c r="AB145" i="1"/>
  <c r="AC145" i="1" s="1"/>
  <c r="M145" i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F144" i="1"/>
  <c r="AV144" i="1" s="1"/>
  <c r="AX144" i="1" s="1"/>
  <c r="AB144" i="1"/>
  <c r="AC144" i="1" s="1"/>
  <c r="AD144" i="1" s="1"/>
  <c r="AE144" i="1" s="1"/>
  <c r="M144" i="1"/>
  <c r="AG144" i="1" s="1"/>
  <c r="AH143" i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G143" i="1"/>
  <c r="AF143" i="1"/>
  <c r="AV143" i="1" s="1"/>
  <c r="AX143" i="1" s="1"/>
  <c r="AC143" i="1"/>
  <c r="AD143" i="1" s="1"/>
  <c r="AE143" i="1" s="1"/>
  <c r="AB143" i="1"/>
  <c r="M143" i="1"/>
  <c r="AX142" i="1"/>
  <c r="AG142" i="1"/>
  <c r="AF142" i="1"/>
  <c r="AV142" i="1" s="1"/>
  <c r="AC142" i="1"/>
  <c r="AD142" i="1" s="1"/>
  <c r="AE142" i="1" s="1"/>
  <c r="AB142" i="1"/>
  <c r="M142" i="1"/>
  <c r="AX141" i="1"/>
  <c r="AG141" i="1"/>
  <c r="AF141" i="1"/>
  <c r="AV141" i="1" s="1"/>
  <c r="AC141" i="1"/>
  <c r="AD141" i="1" s="1"/>
  <c r="AE141" i="1" s="1"/>
  <c r="AB141" i="1"/>
  <c r="M141" i="1"/>
  <c r="AX140" i="1"/>
  <c r="AO140" i="1"/>
  <c r="AP140" i="1" s="1"/>
  <c r="AQ140" i="1" s="1"/>
  <c r="AR140" i="1" s="1"/>
  <c r="AS140" i="1" s="1"/>
  <c r="AH140" i="1"/>
  <c r="AI140" i="1" s="1"/>
  <c r="AJ140" i="1" s="1"/>
  <c r="AK140" i="1" s="1"/>
  <c r="AL140" i="1" s="1"/>
  <c r="AM140" i="1" s="1"/>
  <c r="AN140" i="1" s="1"/>
  <c r="AG140" i="1"/>
  <c r="AF140" i="1"/>
  <c r="AV140" i="1" s="1"/>
  <c r="AC140" i="1"/>
  <c r="AD140" i="1" s="1"/>
  <c r="AE140" i="1" s="1"/>
  <c r="AB140" i="1"/>
  <c r="M140" i="1"/>
  <c r="AW139" i="1"/>
  <c r="AU139" i="1"/>
  <c r="AF139" i="1"/>
  <c r="AB139" i="1"/>
  <c r="AC139" i="1" s="1"/>
  <c r="AD139" i="1" s="1"/>
  <c r="M139" i="1"/>
  <c r="H139" i="1"/>
  <c r="AU138" i="1"/>
  <c r="AW138" i="1" s="1"/>
  <c r="AF138" i="1"/>
  <c r="AD138" i="1"/>
  <c r="AC138" i="1"/>
  <c r="AB138" i="1"/>
  <c r="M138" i="1"/>
  <c r="H138" i="1"/>
  <c r="AU137" i="1"/>
  <c r="AW137" i="1" s="1"/>
  <c r="AC137" i="1"/>
  <c r="AD137" i="1" s="1"/>
  <c r="AB137" i="1"/>
  <c r="M137" i="1"/>
  <c r="AF137" i="1" s="1"/>
  <c r="H137" i="1"/>
  <c r="AW136" i="1"/>
  <c r="AU136" i="1"/>
  <c r="AL136" i="1"/>
  <c r="AM136" i="1" s="1"/>
  <c r="AN136" i="1" s="1"/>
  <c r="AO136" i="1" s="1"/>
  <c r="AP136" i="1" s="1"/>
  <c r="AQ136" i="1" s="1"/>
  <c r="AR136" i="1" s="1"/>
  <c r="AK136" i="1"/>
  <c r="AG136" i="1"/>
  <c r="AH136" i="1" s="1"/>
  <c r="AI136" i="1" s="1"/>
  <c r="AJ136" i="1" s="1"/>
  <c r="AF136" i="1"/>
  <c r="AB136" i="1"/>
  <c r="AC136" i="1" s="1"/>
  <c r="AD136" i="1" s="1"/>
  <c r="M136" i="1"/>
  <c r="H136" i="1"/>
  <c r="AU135" i="1"/>
  <c r="AW135" i="1" s="1"/>
  <c r="AB135" i="1"/>
  <c r="AC135" i="1" s="1"/>
  <c r="AD135" i="1" s="1"/>
  <c r="M135" i="1"/>
  <c r="AF135" i="1" s="1"/>
  <c r="H135" i="1"/>
  <c r="AU134" i="1"/>
  <c r="AW134" i="1" s="1"/>
  <c r="AD134" i="1"/>
  <c r="AC134" i="1"/>
  <c r="AB134" i="1"/>
  <c r="M134" i="1"/>
  <c r="AF134" i="1" s="1"/>
  <c r="H134" i="1"/>
  <c r="AW133" i="1"/>
  <c r="AU133" i="1"/>
  <c r="AI133" i="1"/>
  <c r="AJ133" i="1" s="1"/>
  <c r="AK133" i="1" s="1"/>
  <c r="AL133" i="1" s="1"/>
  <c r="AM133" i="1" s="1"/>
  <c r="AN133" i="1" s="1"/>
  <c r="AO133" i="1" s="1"/>
  <c r="AP133" i="1" s="1"/>
  <c r="AQ133" i="1" s="1"/>
  <c r="AR133" i="1" s="1"/>
  <c r="AH133" i="1"/>
  <c r="AG133" i="1"/>
  <c r="AF133" i="1"/>
  <c r="AB133" i="1"/>
  <c r="AC133" i="1" s="1"/>
  <c r="AD133" i="1" s="1"/>
  <c r="M133" i="1"/>
  <c r="H133" i="1"/>
  <c r="AW132" i="1"/>
  <c r="AU132" i="1"/>
  <c r="AB132" i="1"/>
  <c r="AC132" i="1" s="1"/>
  <c r="AD132" i="1" s="1"/>
  <c r="M132" i="1"/>
  <c r="AF132" i="1" s="1"/>
  <c r="H132" i="1"/>
  <c r="AW131" i="1"/>
  <c r="AU131" i="1"/>
  <c r="AF131" i="1"/>
  <c r="AB131" i="1"/>
  <c r="AC131" i="1" s="1"/>
  <c r="AD131" i="1" s="1"/>
  <c r="M131" i="1"/>
  <c r="H131" i="1"/>
  <c r="AU130" i="1"/>
  <c r="AW130" i="1" s="1"/>
  <c r="AD130" i="1"/>
  <c r="AC130" i="1"/>
  <c r="AB130" i="1"/>
  <c r="O130" i="1"/>
  <c r="M130" i="1"/>
  <c r="AF130" i="1" s="1"/>
  <c r="H130" i="1"/>
  <c r="AU129" i="1"/>
  <c r="AW129" i="1" s="1"/>
  <c r="AF129" i="1"/>
  <c r="AD129" i="1"/>
  <c r="AC129" i="1"/>
  <c r="AB129" i="1"/>
  <c r="M129" i="1"/>
  <c r="H129" i="1"/>
  <c r="AW128" i="1"/>
  <c r="AU128" i="1"/>
  <c r="AB128" i="1"/>
  <c r="AC128" i="1" s="1"/>
  <c r="AD128" i="1" s="1"/>
  <c r="O128" i="1"/>
  <c r="M128" i="1"/>
  <c r="AF128" i="1" s="1"/>
  <c r="H128" i="1"/>
  <c r="AU127" i="1"/>
  <c r="AW127" i="1" s="1"/>
  <c r="AB127" i="1"/>
  <c r="AC127" i="1" s="1"/>
  <c r="AD127" i="1" s="1"/>
  <c r="M127" i="1"/>
  <c r="AF127" i="1" s="1"/>
  <c r="H127" i="1"/>
  <c r="AW126" i="1"/>
  <c r="AU126" i="1"/>
  <c r="AF126" i="1"/>
  <c r="AB126" i="1"/>
  <c r="AC126" i="1" s="1"/>
  <c r="AD126" i="1" s="1"/>
  <c r="M126" i="1"/>
  <c r="H126" i="1"/>
  <c r="AU125" i="1"/>
  <c r="AW125" i="1" s="1"/>
  <c r="AB125" i="1"/>
  <c r="AC125" i="1" s="1"/>
  <c r="AD125" i="1" s="1"/>
  <c r="M125" i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H125" i="1"/>
  <c r="AU124" i="1"/>
  <c r="AW124" i="1" s="1"/>
  <c r="AF124" i="1"/>
  <c r="AC124" i="1"/>
  <c r="AD124" i="1" s="1"/>
  <c r="AB124" i="1"/>
  <c r="M124" i="1"/>
  <c r="H124" i="1"/>
  <c r="AU123" i="1"/>
  <c r="AW123" i="1" s="1"/>
  <c r="AB123" i="1"/>
  <c r="AC123" i="1" s="1"/>
  <c r="AD123" i="1" s="1"/>
  <c r="O123" i="1"/>
  <c r="M123" i="1"/>
  <c r="AF123" i="1" s="1"/>
  <c r="H123" i="1"/>
  <c r="AU122" i="1"/>
  <c r="AW122" i="1" s="1"/>
  <c r="AF122" i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C122" i="1"/>
  <c r="AD122" i="1" s="1"/>
  <c r="AB122" i="1"/>
  <c r="M122" i="1"/>
  <c r="H122" i="1"/>
  <c r="AW121" i="1"/>
  <c r="AU121" i="1"/>
  <c r="AB121" i="1"/>
  <c r="AC121" i="1" s="1"/>
  <c r="AD121" i="1" s="1"/>
  <c r="M121" i="1"/>
  <c r="AF121" i="1" s="1"/>
  <c r="AG121" i="1" s="1"/>
  <c r="AH121" i="1" s="1"/>
  <c r="AI121" i="1" s="1"/>
  <c r="AJ121" i="1" s="1"/>
  <c r="H121" i="1"/>
  <c r="AW120" i="1"/>
  <c r="AU120" i="1"/>
  <c r="AB120" i="1"/>
  <c r="AC120" i="1" s="1"/>
  <c r="AD120" i="1" s="1"/>
  <c r="M120" i="1"/>
  <c r="AF120" i="1" s="1"/>
  <c r="H120" i="1"/>
  <c r="AU119" i="1"/>
  <c r="AW119" i="1" s="1"/>
  <c r="AH119" i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F119" i="1"/>
  <c r="AG119" i="1" s="1"/>
  <c r="AB119" i="1"/>
  <c r="AC119" i="1" s="1"/>
  <c r="AD119" i="1" s="1"/>
  <c r="M119" i="1"/>
  <c r="H119" i="1"/>
  <c r="AW118" i="1"/>
  <c r="AU118" i="1"/>
  <c r="AD118" i="1"/>
  <c r="AC118" i="1"/>
  <c r="AB118" i="1"/>
  <c r="M118" i="1"/>
  <c r="AF118" i="1" s="1"/>
  <c r="H118" i="1"/>
  <c r="AW117" i="1"/>
  <c r="AU117" i="1"/>
  <c r="AF117" i="1"/>
  <c r="AC117" i="1"/>
  <c r="AD117" i="1" s="1"/>
  <c r="AB117" i="1"/>
  <c r="M117" i="1"/>
  <c r="H117" i="1"/>
  <c r="AU116" i="1"/>
  <c r="AW116" i="1" s="1"/>
  <c r="AF116" i="1"/>
  <c r="AD116" i="1"/>
  <c r="AB116" i="1"/>
  <c r="AC116" i="1" s="1"/>
  <c r="O116" i="1"/>
  <c r="M116" i="1"/>
  <c r="H116" i="1"/>
  <c r="AU115" i="1"/>
  <c r="AW115" i="1" s="1"/>
  <c r="AF115" i="1"/>
  <c r="AB115" i="1"/>
  <c r="AC115" i="1" s="1"/>
  <c r="AD115" i="1" s="1"/>
  <c r="P115" i="1"/>
  <c r="O115" i="1"/>
  <c r="M115" i="1"/>
  <c r="J115" i="1"/>
  <c r="H115" i="1"/>
  <c r="AW114" i="1"/>
  <c r="AU114" i="1"/>
  <c r="AG114" i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D114" i="1"/>
  <c r="AC114" i="1"/>
  <c r="AB114" i="1"/>
  <c r="M114" i="1"/>
  <c r="AF114" i="1" s="1"/>
  <c r="H114" i="1"/>
  <c r="AW113" i="1"/>
  <c r="AU113" i="1"/>
  <c r="AF113" i="1"/>
  <c r="AC113" i="1"/>
  <c r="AD113" i="1" s="1"/>
  <c r="AB113" i="1"/>
  <c r="M113" i="1"/>
  <c r="H113" i="1"/>
  <c r="AU112" i="1"/>
  <c r="AW112" i="1" s="1"/>
  <c r="AF112" i="1"/>
  <c r="AB112" i="1"/>
  <c r="AC112" i="1" s="1"/>
  <c r="AD112" i="1" s="1"/>
  <c r="M112" i="1"/>
  <c r="H112" i="1"/>
  <c r="AU111" i="1"/>
  <c r="AW111" i="1" s="1"/>
  <c r="AC111" i="1"/>
  <c r="AD111" i="1" s="1"/>
  <c r="AB111" i="1"/>
  <c r="M111" i="1"/>
  <c r="AF111" i="1" s="1"/>
  <c r="H111" i="1"/>
  <c r="AU110" i="1"/>
  <c r="AW110" i="1" s="1"/>
  <c r="AF110" i="1"/>
  <c r="AG110" i="1" s="1"/>
  <c r="AB110" i="1"/>
  <c r="AC110" i="1" s="1"/>
  <c r="AD110" i="1" s="1"/>
  <c r="M110" i="1"/>
  <c r="H110" i="1"/>
  <c r="AW109" i="1"/>
  <c r="AU109" i="1"/>
  <c r="AB109" i="1"/>
  <c r="AC109" i="1" s="1"/>
  <c r="AD109" i="1" s="1"/>
  <c r="M109" i="1"/>
  <c r="AF109" i="1" s="1"/>
  <c r="AG109" i="1" s="1"/>
  <c r="AH109" i="1" s="1"/>
  <c r="H109" i="1"/>
  <c r="AW108" i="1"/>
  <c r="AU108" i="1"/>
  <c r="AG108" i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B108" i="1"/>
  <c r="AC108" i="1" s="1"/>
  <c r="AD108" i="1" s="1"/>
  <c r="M108" i="1"/>
  <c r="AF108" i="1" s="1"/>
  <c r="H108" i="1"/>
  <c r="AU107" i="1"/>
  <c r="AW107" i="1" s="1"/>
  <c r="AB107" i="1"/>
  <c r="AC107" i="1" s="1"/>
  <c r="AD107" i="1" s="1"/>
  <c r="M107" i="1"/>
  <c r="AF107" i="1" s="1"/>
  <c r="H107" i="1"/>
  <c r="AW106" i="1"/>
  <c r="AU106" i="1"/>
  <c r="AG106" i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D106" i="1"/>
  <c r="AC106" i="1"/>
  <c r="AB106" i="1"/>
  <c r="M106" i="1"/>
  <c r="AF106" i="1" s="1"/>
  <c r="H106" i="1"/>
  <c r="AW105" i="1"/>
  <c r="AU105" i="1"/>
  <c r="AF105" i="1"/>
  <c r="AC105" i="1"/>
  <c r="AD105" i="1" s="1"/>
  <c r="AB105" i="1"/>
  <c r="O105" i="1"/>
  <c r="M105" i="1"/>
  <c r="H105" i="1"/>
  <c r="AW104" i="1"/>
  <c r="AU104" i="1"/>
  <c r="AF104" i="1"/>
  <c r="AC104" i="1"/>
  <c r="AD104" i="1" s="1"/>
  <c r="AB104" i="1"/>
  <c r="M104" i="1"/>
  <c r="H104" i="1"/>
  <c r="AU103" i="1"/>
  <c r="AW103" i="1" s="1"/>
  <c r="AS103" i="1"/>
  <c r="AT103" i="1" s="1"/>
  <c r="AV103" i="1" s="1"/>
  <c r="AF103" i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B103" i="1"/>
  <c r="AC103" i="1" s="1"/>
  <c r="AD103" i="1" s="1"/>
  <c r="M103" i="1"/>
  <c r="H103" i="1"/>
  <c r="AU102" i="1"/>
  <c r="AW102" i="1" s="1"/>
  <c r="AF102" i="1"/>
  <c r="AD102" i="1"/>
  <c r="AC102" i="1"/>
  <c r="AB102" i="1"/>
  <c r="O102" i="1"/>
  <c r="J102" i="1" s="1"/>
  <c r="M102" i="1"/>
  <c r="H102" i="1"/>
  <c r="AU101" i="1"/>
  <c r="AW101" i="1" s="1"/>
  <c r="AG101" i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D101" i="1"/>
  <c r="AB101" i="1"/>
  <c r="AC101" i="1" s="1"/>
  <c r="M101" i="1"/>
  <c r="AF101" i="1" s="1"/>
  <c r="H101" i="1"/>
  <c r="AU100" i="1"/>
  <c r="AW100" i="1" s="1"/>
  <c r="AF100" i="1"/>
  <c r="AC100" i="1"/>
  <c r="AD100" i="1" s="1"/>
  <c r="AB100" i="1"/>
  <c r="M100" i="1"/>
  <c r="H100" i="1"/>
  <c r="AU99" i="1"/>
  <c r="AW99" i="1" s="1"/>
  <c r="AF99" i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C99" i="1"/>
  <c r="AD99" i="1" s="1"/>
  <c r="AB99" i="1"/>
  <c r="M99" i="1"/>
  <c r="H99" i="1"/>
  <c r="AW98" i="1"/>
  <c r="AU98" i="1"/>
  <c r="AB98" i="1"/>
  <c r="AC98" i="1" s="1"/>
  <c r="AD98" i="1" s="1"/>
  <c r="M98" i="1"/>
  <c r="AF98" i="1" s="1"/>
  <c r="H98" i="1"/>
  <c r="AW97" i="1"/>
  <c r="AU97" i="1"/>
  <c r="AF97" i="1"/>
  <c r="AC97" i="1"/>
  <c r="AD97" i="1" s="1"/>
  <c r="AB97" i="1"/>
  <c r="M97" i="1"/>
  <c r="H97" i="1"/>
  <c r="AU96" i="1"/>
  <c r="AW96" i="1" s="1"/>
  <c r="AF96" i="1"/>
  <c r="AB96" i="1"/>
  <c r="AC96" i="1" s="1"/>
  <c r="AD96" i="1" s="1"/>
  <c r="M96" i="1"/>
  <c r="H96" i="1"/>
  <c r="AW95" i="1"/>
  <c r="AU95" i="1"/>
  <c r="AG95" i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F95" i="1"/>
  <c r="AC95" i="1"/>
  <c r="AD95" i="1" s="1"/>
  <c r="AB95" i="1"/>
  <c r="M95" i="1"/>
  <c r="H95" i="1"/>
  <c r="AU94" i="1"/>
  <c r="AW94" i="1" s="1"/>
  <c r="AF94" i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B94" i="1"/>
  <c r="AC94" i="1" s="1"/>
  <c r="AD94" i="1" s="1"/>
  <c r="M94" i="1"/>
  <c r="H94" i="1"/>
  <c r="AE93" i="1"/>
  <c r="AU93" i="1" s="1"/>
  <c r="AW93" i="1" s="1"/>
  <c r="AC93" i="1"/>
  <c r="AD93" i="1" s="1"/>
  <c r="M93" i="1"/>
  <c r="AF93" i="1" s="1"/>
  <c r="AE92" i="1"/>
  <c r="AU92" i="1" s="1"/>
  <c r="AW92" i="1" s="1"/>
  <c r="AC92" i="1"/>
  <c r="AD92" i="1" s="1"/>
  <c r="M92" i="1"/>
  <c r="AF92" i="1" s="1"/>
  <c r="AF91" i="1"/>
  <c r="AE91" i="1"/>
  <c r="AU91" i="1" s="1"/>
  <c r="AW91" i="1" s="1"/>
  <c r="AD91" i="1"/>
  <c r="AC91" i="1"/>
  <c r="AB91" i="1"/>
  <c r="M91" i="1"/>
  <c r="AF90" i="1"/>
  <c r="AE90" i="1"/>
  <c r="AU90" i="1" s="1"/>
  <c r="AW90" i="1" s="1"/>
  <c r="AC90" i="1"/>
  <c r="AD90" i="1" s="1"/>
  <c r="AB90" i="1"/>
  <c r="M90" i="1"/>
  <c r="AG89" i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F89" i="1"/>
  <c r="AE89" i="1"/>
  <c r="AU89" i="1" s="1"/>
  <c r="AW89" i="1" s="1"/>
  <c r="AD89" i="1"/>
  <c r="AB89" i="1"/>
  <c r="AC89" i="1" s="1"/>
  <c r="M89" i="1"/>
  <c r="AF88" i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E88" i="1"/>
  <c r="AU88" i="1" s="1"/>
  <c r="AW88" i="1" s="1"/>
  <c r="AC88" i="1"/>
  <c r="AD88" i="1" s="1"/>
  <c r="AB88" i="1"/>
  <c r="M88" i="1"/>
  <c r="AB87" i="1"/>
  <c r="AC87" i="1" s="1"/>
  <c r="P87" i="1"/>
  <c r="AC86" i="1"/>
  <c r="AB86" i="1"/>
  <c r="R86" i="1"/>
  <c r="S86" i="1" s="1"/>
  <c r="T86" i="1" s="1"/>
  <c r="P86" i="1"/>
  <c r="AB85" i="1"/>
  <c r="AC85" i="1" s="1"/>
  <c r="Q85" i="1"/>
  <c r="P85" i="1"/>
  <c r="AB84" i="1"/>
  <c r="AC84" i="1" s="1"/>
  <c r="AD84" i="1" s="1"/>
  <c r="R84" i="1"/>
  <c r="S84" i="1" s="1"/>
  <c r="T84" i="1" s="1"/>
  <c r="Q84" i="1"/>
  <c r="R87" i="1" s="1"/>
  <c r="S87" i="1" s="1"/>
  <c r="T87" i="1" s="1"/>
  <c r="P84" i="1"/>
  <c r="AB83" i="1"/>
  <c r="AC83" i="1" s="1"/>
  <c r="R83" i="1"/>
  <c r="S83" i="1" s="1"/>
  <c r="T83" i="1" s="1"/>
  <c r="P83" i="1"/>
  <c r="AC82" i="1"/>
  <c r="AB82" i="1"/>
  <c r="T82" i="1"/>
  <c r="S82" i="1"/>
  <c r="R82" i="1"/>
  <c r="P82" i="1"/>
  <c r="AU81" i="1"/>
  <c r="AW81" i="1" s="1"/>
  <c r="AE81" i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D81" i="1"/>
  <c r="AB81" i="1"/>
  <c r="AC81" i="1" s="1"/>
  <c r="R81" i="1"/>
  <c r="S81" i="1" s="1"/>
  <c r="T81" i="1" s="1"/>
  <c r="P81" i="1"/>
  <c r="M81" i="1"/>
  <c r="AF81" i="1" s="1"/>
  <c r="K81" i="1"/>
  <c r="AC80" i="1"/>
  <c r="AB80" i="1"/>
  <c r="S80" i="1"/>
  <c r="T80" i="1" s="1"/>
  <c r="R80" i="1"/>
  <c r="AF79" i="1"/>
  <c r="AC79" i="1"/>
  <c r="AD79" i="1" s="1"/>
  <c r="AB79" i="1"/>
  <c r="T79" i="1"/>
  <c r="AE79" i="1" s="1"/>
  <c r="AU79" i="1" s="1"/>
  <c r="AW79" i="1" s="1"/>
  <c r="S79" i="1"/>
  <c r="R79" i="1"/>
  <c r="M79" i="1"/>
  <c r="AC78" i="1"/>
  <c r="AB78" i="1"/>
  <c r="R78" i="1"/>
  <c r="S78" i="1" s="1"/>
  <c r="T78" i="1" s="1"/>
  <c r="AB77" i="1"/>
  <c r="AC77" i="1" s="1"/>
  <c r="AD77" i="1" s="1"/>
  <c r="R77" i="1"/>
  <c r="S77" i="1" s="1"/>
  <c r="T77" i="1" s="1"/>
  <c r="AB76" i="1"/>
  <c r="AC76" i="1" s="1"/>
  <c r="R76" i="1"/>
  <c r="S76" i="1" s="1"/>
  <c r="T76" i="1" s="1"/>
  <c r="AC75" i="1"/>
  <c r="AD75" i="1" s="1"/>
  <c r="AB75" i="1"/>
  <c r="S75" i="1"/>
  <c r="T75" i="1" s="1"/>
  <c r="R75" i="1"/>
  <c r="AF74" i="1"/>
  <c r="AE74" i="1"/>
  <c r="AU74" i="1" s="1"/>
  <c r="AW74" i="1" s="1"/>
  <c r="AB74" i="1"/>
  <c r="AC74" i="1" s="1"/>
  <c r="AD74" i="1" s="1"/>
  <c r="M74" i="1"/>
  <c r="AF73" i="1"/>
  <c r="AE73" i="1"/>
  <c r="AU73" i="1" s="1"/>
  <c r="AW73" i="1" s="1"/>
  <c r="AB73" i="1"/>
  <c r="AC73" i="1" s="1"/>
  <c r="AD73" i="1" s="1"/>
  <c r="M73" i="1"/>
  <c r="AG72" i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F72" i="1"/>
  <c r="AE72" i="1"/>
  <c r="AU72" i="1" s="1"/>
  <c r="AW72" i="1" s="1"/>
  <c r="AB72" i="1"/>
  <c r="AC72" i="1" s="1"/>
  <c r="AD72" i="1" s="1"/>
  <c r="M72" i="1"/>
  <c r="AC71" i="1"/>
  <c r="AB71" i="1"/>
  <c r="S71" i="1"/>
  <c r="T71" i="1" s="1"/>
  <c r="R71" i="1"/>
  <c r="AF70" i="1"/>
  <c r="AC70" i="1"/>
  <c r="AB70" i="1"/>
  <c r="R70" i="1"/>
  <c r="S70" i="1" s="1"/>
  <c r="T70" i="1" s="1"/>
  <c r="M70" i="1"/>
  <c r="AB69" i="1"/>
  <c r="AC69" i="1" s="1"/>
  <c r="T69" i="1"/>
  <c r="R69" i="1"/>
  <c r="S69" i="1" s="1"/>
  <c r="AG68" i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F68" i="1"/>
  <c r="AE68" i="1"/>
  <c r="AU68" i="1" s="1"/>
  <c r="AW68" i="1" s="1"/>
  <c r="AB68" i="1"/>
  <c r="AC68" i="1" s="1"/>
  <c r="AD68" i="1" s="1"/>
  <c r="M68" i="1"/>
  <c r="AF67" i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E67" i="1"/>
  <c r="AU67" i="1" s="1"/>
  <c r="AW67" i="1" s="1"/>
  <c r="AC67" i="1"/>
  <c r="AD67" i="1" s="1"/>
  <c r="AB67" i="1"/>
  <c r="M67" i="1"/>
  <c r="AF66" i="1"/>
  <c r="AE66" i="1"/>
  <c r="AG66" i="1" s="1"/>
  <c r="AB66" i="1"/>
  <c r="AC66" i="1" s="1"/>
  <c r="AD66" i="1" s="1"/>
  <c r="M66" i="1"/>
  <c r="AB65" i="1"/>
  <c r="AC65" i="1" s="1"/>
  <c r="R65" i="1"/>
  <c r="S65" i="1" s="1"/>
  <c r="T65" i="1" s="1"/>
  <c r="AB64" i="1"/>
  <c r="AC64" i="1" s="1"/>
  <c r="R64" i="1"/>
  <c r="S64" i="1" s="1"/>
  <c r="T64" i="1" s="1"/>
  <c r="AB63" i="1"/>
  <c r="AC63" i="1" s="1"/>
  <c r="R63" i="1"/>
  <c r="S63" i="1" s="1"/>
  <c r="T63" i="1" s="1"/>
  <c r="Q63" i="1"/>
  <c r="AC62" i="1"/>
  <c r="AB62" i="1"/>
  <c r="S62" i="1"/>
  <c r="T62" i="1" s="1"/>
  <c r="R62" i="1"/>
  <c r="AF61" i="1"/>
  <c r="AC61" i="1"/>
  <c r="AD61" i="1" s="1"/>
  <c r="AB61" i="1"/>
  <c r="R61" i="1"/>
  <c r="S61" i="1" s="1"/>
  <c r="T61" i="1" s="1"/>
  <c r="M61" i="1"/>
  <c r="AB60" i="1"/>
  <c r="AC60" i="1" s="1"/>
  <c r="T60" i="1"/>
  <c r="R60" i="1"/>
  <c r="S60" i="1" s="1"/>
  <c r="AB59" i="1"/>
  <c r="AC59" i="1" s="1"/>
  <c r="AD59" i="1" s="1"/>
  <c r="R59" i="1"/>
  <c r="S59" i="1" s="1"/>
  <c r="T59" i="1" s="1"/>
  <c r="AB58" i="1"/>
  <c r="AC58" i="1" s="1"/>
  <c r="R58" i="1"/>
  <c r="S58" i="1" s="1"/>
  <c r="T58" i="1" s="1"/>
  <c r="AB57" i="1"/>
  <c r="AC57" i="1" s="1"/>
  <c r="R57" i="1"/>
  <c r="S57" i="1" s="1"/>
  <c r="T57" i="1" s="1"/>
  <c r="AB56" i="1"/>
  <c r="AC56" i="1" s="1"/>
  <c r="S56" i="1"/>
  <c r="T56" i="1" s="1"/>
  <c r="M56" i="1" s="1"/>
  <c r="AF56" i="1" s="1"/>
  <c r="R56" i="1"/>
  <c r="K56" i="1"/>
  <c r="AC55" i="1"/>
  <c r="AD55" i="1" s="1"/>
  <c r="AB55" i="1"/>
  <c r="S55" i="1"/>
  <c r="T55" i="1" s="1"/>
  <c r="R55" i="1"/>
  <c r="AC54" i="1"/>
  <c r="AB54" i="1"/>
  <c r="S54" i="1"/>
  <c r="T54" i="1" s="1"/>
  <c r="R54" i="1"/>
  <c r="AW53" i="1"/>
  <c r="AU53" i="1"/>
  <c r="AB53" i="1"/>
  <c r="AC53" i="1" s="1"/>
  <c r="AD53" i="1" s="1"/>
  <c r="O53" i="1"/>
  <c r="M53" i="1"/>
  <c r="AF53" i="1" s="1"/>
  <c r="J53" i="1"/>
  <c r="H53" i="1"/>
  <c r="AW52" i="1"/>
  <c r="AU52" i="1"/>
  <c r="AC52" i="1"/>
  <c r="AB52" i="1"/>
  <c r="O52" i="1"/>
  <c r="M52" i="1"/>
  <c r="AF52" i="1" s="1"/>
  <c r="J52" i="1"/>
  <c r="H52" i="1"/>
  <c r="AC51" i="1"/>
  <c r="AD51" i="1" s="1"/>
  <c r="AB51" i="1"/>
  <c r="Q51" i="1"/>
  <c r="O51" i="1"/>
  <c r="R51" i="1" s="1"/>
  <c r="S51" i="1" s="1"/>
  <c r="T51" i="1" s="1"/>
  <c r="K51" i="1" s="1"/>
  <c r="H51" i="1"/>
  <c r="AC50" i="1"/>
  <c r="AD50" i="1" s="1"/>
  <c r="AB50" i="1"/>
  <c r="Q50" i="1"/>
  <c r="R50" i="1" s="1"/>
  <c r="S50" i="1" s="1"/>
  <c r="T50" i="1" s="1"/>
  <c r="O50" i="1"/>
  <c r="J50" i="1"/>
  <c r="H50" i="1"/>
  <c r="AU49" i="1"/>
  <c r="AW49" i="1" s="1"/>
  <c r="AF49" i="1"/>
  <c r="AD49" i="1"/>
  <c r="AB49" i="1"/>
  <c r="AC49" i="1" s="1"/>
  <c r="M49" i="1"/>
  <c r="H49" i="1"/>
  <c r="AU48" i="1"/>
  <c r="AW48" i="1" s="1"/>
  <c r="AF48" i="1"/>
  <c r="AC48" i="1"/>
  <c r="AD48" i="1" s="1"/>
  <c r="AB48" i="1"/>
  <c r="O48" i="1"/>
  <c r="M48" i="1"/>
  <c r="J48" i="1"/>
  <c r="H48" i="1"/>
  <c r="AW47" i="1"/>
  <c r="AU47" i="1"/>
  <c r="AN47" i="1"/>
  <c r="AO47" i="1" s="1"/>
  <c r="AP47" i="1" s="1"/>
  <c r="AQ47" i="1" s="1"/>
  <c r="AR47" i="1" s="1"/>
  <c r="AM47" i="1"/>
  <c r="AG47" i="1"/>
  <c r="AH47" i="1" s="1"/>
  <c r="AI47" i="1" s="1"/>
  <c r="AJ47" i="1" s="1"/>
  <c r="AK47" i="1" s="1"/>
  <c r="AL47" i="1" s="1"/>
  <c r="AF47" i="1"/>
  <c r="AB47" i="1"/>
  <c r="AC47" i="1" s="1"/>
  <c r="AD47" i="1" s="1"/>
  <c r="H47" i="1"/>
  <c r="AC46" i="1"/>
  <c r="AB46" i="1"/>
  <c r="Q46" i="1"/>
  <c r="O46" i="1"/>
  <c r="R46" i="1" s="1"/>
  <c r="S46" i="1" s="1"/>
  <c r="H46" i="1"/>
  <c r="AC45" i="1"/>
  <c r="AB45" i="1"/>
  <c r="O45" i="1"/>
  <c r="R45" i="1" s="1"/>
  <c r="S45" i="1" s="1"/>
  <c r="T45" i="1" s="1"/>
  <c r="K45" i="1"/>
  <c r="J45" i="1"/>
  <c r="H45" i="1"/>
  <c r="AW44" i="1"/>
  <c r="AU44" i="1"/>
  <c r="AB44" i="1"/>
  <c r="AC44" i="1" s="1"/>
  <c r="AD44" i="1" s="1"/>
  <c r="M44" i="1"/>
  <c r="AF44" i="1" s="1"/>
  <c r="H44" i="1"/>
  <c r="AF43" i="1"/>
  <c r="AE43" i="1"/>
  <c r="AU43" i="1" s="1"/>
  <c r="AW43" i="1" s="1"/>
  <c r="AC43" i="1"/>
  <c r="AD43" i="1" s="1"/>
  <c r="AB43" i="1"/>
  <c r="O43" i="1"/>
  <c r="M43" i="1"/>
  <c r="H43" i="1"/>
  <c r="AB42" i="1"/>
  <c r="AC42" i="1" s="1"/>
  <c r="R42" i="1"/>
  <c r="S42" i="1" s="1"/>
  <c r="T42" i="1" s="1"/>
  <c r="Q42" i="1"/>
  <c r="O42" i="1"/>
  <c r="H42" i="1"/>
  <c r="AF41" i="1"/>
  <c r="AE41" i="1"/>
  <c r="AU41" i="1" s="1"/>
  <c r="AW41" i="1" s="1"/>
  <c r="AC41" i="1"/>
  <c r="AD41" i="1" s="1"/>
  <c r="AB41" i="1"/>
  <c r="R41" i="1"/>
  <c r="S41" i="1" s="1"/>
  <c r="T41" i="1" s="1"/>
  <c r="M41" i="1"/>
  <c r="H41" i="1"/>
  <c r="AB40" i="1"/>
  <c r="AC40" i="1" s="1"/>
  <c r="O40" i="1"/>
  <c r="R40" i="1" s="1"/>
  <c r="S40" i="1" s="1"/>
  <c r="T40" i="1" s="1"/>
  <c r="K40" i="1" s="1"/>
  <c r="H40" i="1"/>
  <c r="AU39" i="1"/>
  <c r="AW39" i="1" s="1"/>
  <c r="AF39" i="1"/>
  <c r="AB39" i="1"/>
  <c r="AC39" i="1" s="1"/>
  <c r="AD39" i="1" s="1"/>
  <c r="M39" i="1"/>
  <c r="H39" i="1"/>
  <c r="AB38" i="1"/>
  <c r="AC38" i="1" s="1"/>
  <c r="Q38" i="1"/>
  <c r="H38" i="1"/>
  <c r="AB37" i="1"/>
  <c r="AC37" i="1" s="1"/>
  <c r="Q37" i="1"/>
  <c r="H37" i="1"/>
  <c r="AB36" i="1"/>
  <c r="AC36" i="1" s="1"/>
  <c r="R36" i="1"/>
  <c r="S36" i="1" s="1"/>
  <c r="Q36" i="1"/>
  <c r="H36" i="1"/>
  <c r="AC35" i="1"/>
  <c r="AB35" i="1"/>
  <c r="O35" i="1"/>
  <c r="H35" i="1"/>
  <c r="AB34" i="1"/>
  <c r="AC34" i="1" s="1"/>
  <c r="Q34" i="1"/>
  <c r="O34" i="1"/>
  <c r="H34" i="1"/>
  <c r="AB33" i="1"/>
  <c r="AC33" i="1" s="1"/>
  <c r="Q33" i="1"/>
  <c r="R33" i="1" s="1"/>
  <c r="S33" i="1" s="1"/>
  <c r="O33" i="1"/>
  <c r="J33" i="1"/>
  <c r="H33" i="1"/>
  <c r="AU32" i="1"/>
  <c r="AW32" i="1" s="1"/>
  <c r="AF32" i="1"/>
  <c r="AD32" i="1"/>
  <c r="AB32" i="1"/>
  <c r="AC32" i="1" s="1"/>
  <c r="M32" i="1"/>
  <c r="H32" i="1"/>
  <c r="AU31" i="1"/>
  <c r="AW31" i="1" s="1"/>
  <c r="AF31" i="1"/>
  <c r="AC31" i="1"/>
  <c r="AD31" i="1" s="1"/>
  <c r="AB31" i="1"/>
  <c r="M31" i="1"/>
  <c r="H31" i="1"/>
  <c r="AU30" i="1"/>
  <c r="AW30" i="1" s="1"/>
  <c r="AF30" i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B30" i="1"/>
  <c r="AC30" i="1" s="1"/>
  <c r="AD30" i="1" s="1"/>
  <c r="M30" i="1"/>
  <c r="H30" i="1"/>
  <c r="AU29" i="1"/>
  <c r="AW29" i="1" s="1"/>
  <c r="AJ29" i="1"/>
  <c r="AK29" i="1" s="1"/>
  <c r="AL29" i="1" s="1"/>
  <c r="AM29" i="1" s="1"/>
  <c r="AN29" i="1" s="1"/>
  <c r="AO29" i="1" s="1"/>
  <c r="AP29" i="1" s="1"/>
  <c r="AQ29" i="1" s="1"/>
  <c r="AR29" i="1" s="1"/>
  <c r="AB29" i="1"/>
  <c r="AC29" i="1" s="1"/>
  <c r="AD29" i="1" s="1"/>
  <c r="M29" i="1"/>
  <c r="AF29" i="1" s="1"/>
  <c r="AG29" i="1" s="1"/>
  <c r="AH29" i="1" s="1"/>
  <c r="AI29" i="1" s="1"/>
  <c r="H29" i="1"/>
  <c r="AU28" i="1"/>
  <c r="AW28" i="1" s="1"/>
  <c r="AB28" i="1"/>
  <c r="AC28" i="1" s="1"/>
  <c r="AD28" i="1" s="1"/>
  <c r="M28" i="1"/>
  <c r="AF28" i="1" s="1"/>
  <c r="H28" i="1"/>
  <c r="AU27" i="1"/>
  <c r="AW27" i="1" s="1"/>
  <c r="AB27" i="1"/>
  <c r="AC27" i="1" s="1"/>
  <c r="AD27" i="1" s="1"/>
  <c r="M27" i="1"/>
  <c r="AF27" i="1" s="1"/>
  <c r="H27" i="1"/>
  <c r="AW26" i="1"/>
  <c r="AU26" i="1"/>
  <c r="AB26" i="1"/>
  <c r="AC26" i="1" s="1"/>
  <c r="AD26" i="1" s="1"/>
  <c r="M26" i="1"/>
  <c r="AF26" i="1" s="1"/>
  <c r="H26" i="1"/>
  <c r="AW25" i="1"/>
  <c r="AU25" i="1"/>
  <c r="AF25" i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B25" i="1"/>
  <c r="AC25" i="1" s="1"/>
  <c r="AD25" i="1" s="1"/>
  <c r="M25" i="1"/>
  <c r="H25" i="1"/>
  <c r="AU24" i="1"/>
  <c r="AW24" i="1" s="1"/>
  <c r="AG24" i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F24" i="1"/>
  <c r="AD24" i="1"/>
  <c r="AB24" i="1"/>
  <c r="AC24" i="1" s="1"/>
  <c r="M24" i="1"/>
  <c r="H24" i="1"/>
  <c r="AU23" i="1"/>
  <c r="AW23" i="1" s="1"/>
  <c r="AF23" i="1"/>
  <c r="AC23" i="1"/>
  <c r="AD23" i="1" s="1"/>
  <c r="AB23" i="1"/>
  <c r="M23" i="1"/>
  <c r="H23" i="1"/>
  <c r="AU22" i="1"/>
  <c r="AW22" i="1" s="1"/>
  <c r="AF22" i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C22" i="1"/>
  <c r="AD22" i="1" s="1"/>
  <c r="AB22" i="1"/>
  <c r="M22" i="1"/>
  <c r="H22" i="1"/>
  <c r="AU21" i="1"/>
  <c r="AW21" i="1" s="1"/>
  <c r="AJ21" i="1"/>
  <c r="AK21" i="1" s="1"/>
  <c r="AB21" i="1"/>
  <c r="AC21" i="1" s="1"/>
  <c r="AD21" i="1" s="1"/>
  <c r="M21" i="1"/>
  <c r="AF21" i="1" s="1"/>
  <c r="AG21" i="1" s="1"/>
  <c r="AH21" i="1" s="1"/>
  <c r="AI21" i="1" s="1"/>
  <c r="H21" i="1"/>
  <c r="AU20" i="1"/>
  <c r="AW20" i="1" s="1"/>
  <c r="AJ20" i="1"/>
  <c r="AK20" i="1" s="1"/>
  <c r="AL20" i="1" s="1"/>
  <c r="AM20" i="1" s="1"/>
  <c r="AN20" i="1" s="1"/>
  <c r="AO20" i="1" s="1"/>
  <c r="AP20" i="1" s="1"/>
  <c r="AQ20" i="1" s="1"/>
  <c r="AR20" i="1" s="1"/>
  <c r="AI20" i="1"/>
  <c r="AS20" i="1" s="1"/>
  <c r="AT20" i="1" s="1"/>
  <c r="AV20" i="1" s="1"/>
  <c r="AB20" i="1"/>
  <c r="AC20" i="1" s="1"/>
  <c r="AD20" i="1" s="1"/>
  <c r="M20" i="1"/>
  <c r="AF20" i="1" s="1"/>
  <c r="AG20" i="1" s="1"/>
  <c r="AH20" i="1" s="1"/>
  <c r="H20" i="1"/>
  <c r="AU19" i="1"/>
  <c r="AW19" i="1" s="1"/>
  <c r="AB19" i="1"/>
  <c r="AC19" i="1" s="1"/>
  <c r="AD19" i="1" s="1"/>
  <c r="M19" i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H19" i="1"/>
  <c r="AW18" i="1"/>
  <c r="AU18" i="1"/>
  <c r="AG18" i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B18" i="1"/>
  <c r="AC18" i="1" s="1"/>
  <c r="AD18" i="1" s="1"/>
  <c r="M18" i="1"/>
  <c r="AF18" i="1" s="1"/>
  <c r="H18" i="1"/>
  <c r="AW17" i="1"/>
  <c r="AU17" i="1"/>
  <c r="AF17" i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B17" i="1"/>
  <c r="AC17" i="1" s="1"/>
  <c r="AD17" i="1" s="1"/>
  <c r="M17" i="1"/>
  <c r="H17" i="1"/>
  <c r="AU16" i="1"/>
  <c r="AW16" i="1" s="1"/>
  <c r="AG16" i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F16" i="1"/>
  <c r="AB16" i="1"/>
  <c r="AC16" i="1" s="1"/>
  <c r="AD16" i="1" s="1"/>
  <c r="M16" i="1"/>
  <c r="H16" i="1"/>
  <c r="AW15" i="1"/>
  <c r="AU15" i="1"/>
  <c r="AG15" i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F15" i="1"/>
  <c r="AD15" i="1"/>
  <c r="AC15" i="1"/>
  <c r="AB15" i="1"/>
  <c r="M15" i="1"/>
  <c r="H15" i="1"/>
  <c r="AU14" i="1"/>
  <c r="AW14" i="1" s="1"/>
  <c r="AF14" i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C14" i="1"/>
  <c r="AD14" i="1" s="1"/>
  <c r="AB14" i="1"/>
  <c r="M14" i="1"/>
  <c r="H14" i="1"/>
  <c r="AU13" i="1"/>
  <c r="AW13" i="1" s="1"/>
  <c r="AJ13" i="1"/>
  <c r="AK13" i="1" s="1"/>
  <c r="AI13" i="1"/>
  <c r="AB13" i="1"/>
  <c r="AC13" i="1" s="1"/>
  <c r="AD13" i="1" s="1"/>
  <c r="M13" i="1"/>
  <c r="AF13" i="1" s="1"/>
  <c r="AG13" i="1" s="1"/>
  <c r="AH13" i="1" s="1"/>
  <c r="H13" i="1"/>
  <c r="AW12" i="1"/>
  <c r="AU12" i="1"/>
  <c r="AH12" i="1"/>
  <c r="AI12" i="1" s="1"/>
  <c r="AB12" i="1"/>
  <c r="AC12" i="1" s="1"/>
  <c r="AD12" i="1" s="1"/>
  <c r="M12" i="1"/>
  <c r="AF12" i="1" s="1"/>
  <c r="AG12" i="1" s="1"/>
  <c r="H12" i="1"/>
  <c r="AW11" i="1"/>
  <c r="AU11" i="1"/>
  <c r="AG11" i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B11" i="1"/>
  <c r="AC11" i="1" s="1"/>
  <c r="AD11" i="1" s="1"/>
  <c r="M11" i="1"/>
  <c r="AF11" i="1" s="1"/>
  <c r="H11" i="1"/>
  <c r="AW10" i="1"/>
  <c r="AU10" i="1"/>
  <c r="AF10" i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B10" i="1"/>
  <c r="AC10" i="1" s="1"/>
  <c r="AD10" i="1" s="1"/>
  <c r="M10" i="1"/>
  <c r="H10" i="1"/>
  <c r="AU9" i="1"/>
  <c r="AW9" i="1" s="1"/>
  <c r="AG9" i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F9" i="1"/>
  <c r="AD9" i="1"/>
  <c r="AB9" i="1"/>
  <c r="AC9" i="1" s="1"/>
  <c r="M9" i="1"/>
  <c r="H9" i="1"/>
  <c r="AU8" i="1"/>
  <c r="AW8" i="1" s="1"/>
  <c r="AF8" i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C8" i="1"/>
  <c r="AD8" i="1" s="1"/>
  <c r="AB8" i="1"/>
  <c r="M8" i="1"/>
  <c r="H8" i="1"/>
  <c r="AU7" i="1"/>
  <c r="AW7" i="1" s="1"/>
  <c r="AB7" i="1"/>
  <c r="AC7" i="1" s="1"/>
  <c r="AD7" i="1" s="1"/>
  <c r="M7" i="1"/>
  <c r="AF7" i="1" s="1"/>
  <c r="H7" i="1"/>
  <c r="AW6" i="1"/>
  <c r="AU6" i="1"/>
  <c r="AF6" i="1"/>
  <c r="AC6" i="1"/>
  <c r="AD6" i="1" s="1"/>
  <c r="AB6" i="1"/>
  <c r="M6" i="1"/>
  <c r="H6" i="1"/>
  <c r="AU5" i="1"/>
  <c r="AW5" i="1" s="1"/>
  <c r="AG5" i="1"/>
  <c r="AH5" i="1" s="1"/>
  <c r="AF5" i="1"/>
  <c r="AB5" i="1"/>
  <c r="AC5" i="1" s="1"/>
  <c r="AD5" i="1" s="1"/>
  <c r="M5" i="1"/>
  <c r="H5" i="1"/>
  <c r="AU4" i="1"/>
  <c r="AW4" i="1" s="1"/>
  <c r="AC4" i="1"/>
  <c r="AD4" i="1" s="1"/>
  <c r="AB4" i="1"/>
  <c r="M4" i="1"/>
  <c r="AF4" i="1" s="1"/>
  <c r="H4" i="1"/>
  <c r="AU3" i="1"/>
  <c r="AW3" i="1" s="1"/>
  <c r="AF3" i="1"/>
  <c r="AG3" i="1" s="1"/>
  <c r="AB3" i="1"/>
  <c r="AC3" i="1" s="1"/>
  <c r="AD3" i="1" s="1"/>
  <c r="M3" i="1"/>
  <c r="H3" i="1"/>
  <c r="AU2" i="1"/>
  <c r="AW2" i="1" s="1"/>
  <c r="AF2" i="1"/>
  <c r="AG2" i="1" s="1"/>
  <c r="AB2" i="1"/>
  <c r="AC2" i="1" s="1"/>
  <c r="AD2" i="1" s="1"/>
  <c r="M2" i="1"/>
  <c r="H2" i="1"/>
  <c r="AV1048576" i="1" l="1"/>
  <c r="AH3" i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G7" i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M42" i="1"/>
  <c r="AF42" i="1" s="1"/>
  <c r="K42" i="1"/>
  <c r="AL13" i="1"/>
  <c r="AM13" i="1" s="1"/>
  <c r="AN13" i="1" s="1"/>
  <c r="AO13" i="1" s="1"/>
  <c r="AP13" i="1" s="1"/>
  <c r="AQ13" i="1" s="1"/>
  <c r="AR13" i="1" s="1"/>
  <c r="AL21" i="1"/>
  <c r="AM21" i="1" s="1"/>
  <c r="AN21" i="1" s="1"/>
  <c r="AO21" i="1" s="1"/>
  <c r="AP21" i="1" s="1"/>
  <c r="AQ21" i="1" s="1"/>
  <c r="AR21" i="1" s="1"/>
  <c r="AS21" i="1"/>
  <c r="AT21" i="1" s="1"/>
  <c r="AV21" i="1" s="1"/>
  <c r="AH2" i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G4" i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I5" i="1"/>
  <c r="AJ5" i="1" s="1"/>
  <c r="AK5" i="1" s="1"/>
  <c r="AL5" i="1" s="1"/>
  <c r="AM5" i="1" s="1"/>
  <c r="AN5" i="1" s="1"/>
  <c r="AO5" i="1" s="1"/>
  <c r="AP5" i="1" s="1"/>
  <c r="AQ5" i="1" s="1"/>
  <c r="AR5" i="1" s="1"/>
  <c r="AS11" i="1"/>
  <c r="AT11" i="1" s="1"/>
  <c r="AV11" i="1" s="1"/>
  <c r="AJ12" i="1"/>
  <c r="AK12" i="1" s="1"/>
  <c r="AL12" i="1" s="1"/>
  <c r="AM12" i="1" s="1"/>
  <c r="AN12" i="1" s="1"/>
  <c r="AO12" i="1" s="1"/>
  <c r="AP12" i="1" s="1"/>
  <c r="AQ12" i="1" s="1"/>
  <c r="AR12" i="1" s="1"/>
  <c r="M69" i="1"/>
  <c r="AF69" i="1" s="1"/>
  <c r="AE69" i="1"/>
  <c r="AU69" i="1" s="1"/>
  <c r="AW69" i="1" s="1"/>
  <c r="K69" i="1"/>
  <c r="AS123" i="1"/>
  <c r="AT123" i="1" s="1"/>
  <c r="AV123" i="1" s="1"/>
  <c r="AG123" i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9" i="1"/>
  <c r="AT9" i="1" s="1"/>
  <c r="AV9" i="1" s="1"/>
  <c r="AG28" i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G61" i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8" i="1"/>
  <c r="AT8" i="1" s="1"/>
  <c r="AV8" i="1" s="1"/>
  <c r="AG41" i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R34" i="1"/>
  <c r="S34" i="1" s="1"/>
  <c r="T34" i="1" s="1"/>
  <c r="AG6" i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G44" i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M60" i="1"/>
  <c r="AF60" i="1" s="1"/>
  <c r="AE60" i="1"/>
  <c r="AU60" i="1" s="1"/>
  <c r="AW60" i="1" s="1"/>
  <c r="K60" i="1"/>
  <c r="M64" i="1"/>
  <c r="AF64" i="1" s="1"/>
  <c r="AE64" i="1"/>
  <c r="AU64" i="1" s="1"/>
  <c r="AW64" i="1" s="1"/>
  <c r="K64" i="1"/>
  <c r="T33" i="1"/>
  <c r="M33" i="1" s="1"/>
  <c r="AF33" i="1" s="1"/>
  <c r="AS25" i="1"/>
  <c r="AT25" i="1" s="1"/>
  <c r="AV25" i="1" s="1"/>
  <c r="AD33" i="1"/>
  <c r="AS19" i="1"/>
  <c r="AT19" i="1" s="1"/>
  <c r="AV19" i="1" s="1"/>
  <c r="AS22" i="1"/>
  <c r="AT22" i="1" s="1"/>
  <c r="AV22" i="1" s="1"/>
  <c r="AS23" i="1"/>
  <c r="AT23" i="1" s="1"/>
  <c r="AV23" i="1" s="1"/>
  <c r="AG23" i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6" i="1"/>
  <c r="AT26" i="1" s="1"/>
  <c r="AV26" i="1" s="1"/>
  <c r="AD42" i="1"/>
  <c r="AE45" i="1"/>
  <c r="AU45" i="1" s="1"/>
  <c r="AW45" i="1" s="1"/>
  <c r="M45" i="1"/>
  <c r="AF45" i="1" s="1"/>
  <c r="AG52" i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3" i="1"/>
  <c r="AT53" i="1" s="1"/>
  <c r="AV53" i="1" s="1"/>
  <c r="AG53" i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E54" i="1"/>
  <c r="AU54" i="1" s="1"/>
  <c r="AW54" i="1" s="1"/>
  <c r="K54" i="1"/>
  <c r="M54" i="1"/>
  <c r="AF54" i="1" s="1"/>
  <c r="AD64" i="1"/>
  <c r="AS17" i="1"/>
  <c r="AT17" i="1" s="1"/>
  <c r="AV17" i="1" s="1"/>
  <c r="AS16" i="1"/>
  <c r="AT16" i="1" s="1"/>
  <c r="AV16" i="1" s="1"/>
  <c r="R35" i="1"/>
  <c r="S35" i="1" s="1"/>
  <c r="T35" i="1" s="1"/>
  <c r="M65" i="1"/>
  <c r="AF65" i="1" s="1"/>
  <c r="AE65" i="1"/>
  <c r="AU65" i="1" s="1"/>
  <c r="AW65" i="1" s="1"/>
  <c r="K65" i="1"/>
  <c r="AE80" i="1"/>
  <c r="AU80" i="1" s="1"/>
  <c r="AW80" i="1" s="1"/>
  <c r="K80" i="1"/>
  <c r="M80" i="1"/>
  <c r="AF80" i="1" s="1"/>
  <c r="AS14" i="1"/>
  <c r="AT14" i="1" s="1"/>
  <c r="AV14" i="1" s="1"/>
  <c r="AS18" i="1"/>
  <c r="AT18" i="1" s="1"/>
  <c r="AV18" i="1" s="1"/>
  <c r="AG26" i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9" i="1"/>
  <c r="AT29" i="1" s="1"/>
  <c r="AV29" i="1" s="1"/>
  <c r="K33" i="1"/>
  <c r="AD34" i="1"/>
  <c r="R37" i="1"/>
  <c r="S37" i="1" s="1"/>
  <c r="T37" i="1" s="1"/>
  <c r="R38" i="1"/>
  <c r="S38" i="1" s="1"/>
  <c r="T38" i="1" s="1"/>
  <c r="T36" i="1"/>
  <c r="AG39" i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D45" i="1"/>
  <c r="AS10" i="1"/>
  <c r="AT10" i="1" s="1"/>
  <c r="AV10" i="1" s="1"/>
  <c r="AG32" i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15" i="1"/>
  <c r="AT15" i="1" s="1"/>
  <c r="AV15" i="1" s="1"/>
  <c r="AS24" i="1"/>
  <c r="AT24" i="1" s="1"/>
  <c r="AV24" i="1" s="1"/>
  <c r="AG27" i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/>
  <c r="AT27" i="1" s="1"/>
  <c r="AV27" i="1" s="1"/>
  <c r="AS30" i="1"/>
  <c r="AT30" i="1" s="1"/>
  <c r="AV30" i="1" s="1"/>
  <c r="AE33" i="1"/>
  <c r="AU33" i="1" s="1"/>
  <c r="AW33" i="1" s="1"/>
  <c r="AD40" i="1"/>
  <c r="M50" i="1"/>
  <c r="AF50" i="1" s="1"/>
  <c r="K50" i="1"/>
  <c r="AD69" i="1"/>
  <c r="AG49" i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D54" i="1"/>
  <c r="M57" i="1"/>
  <c r="AF57" i="1" s="1"/>
  <c r="AE57" i="1"/>
  <c r="AU57" i="1" s="1"/>
  <c r="AW57" i="1" s="1"/>
  <c r="K57" i="1"/>
  <c r="AD60" i="1"/>
  <c r="AS74" i="1"/>
  <c r="AT74" i="1" s="1"/>
  <c r="AV74" i="1" s="1"/>
  <c r="AG74" i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D80" i="1"/>
  <c r="AG118" i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G31" i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G43" i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E50" i="1"/>
  <c r="AU50" i="1" s="1"/>
  <c r="AW50" i="1" s="1"/>
  <c r="AD52" i="1"/>
  <c r="AD57" i="1"/>
  <c r="M59" i="1"/>
  <c r="AF59" i="1" s="1"/>
  <c r="AE59" i="1"/>
  <c r="AU59" i="1" s="1"/>
  <c r="AW59" i="1" s="1"/>
  <c r="K59" i="1"/>
  <c r="AE63" i="1"/>
  <c r="AU63" i="1" s="1"/>
  <c r="AW63" i="1" s="1"/>
  <c r="M63" i="1"/>
  <c r="AF63" i="1" s="1"/>
  <c r="K63" i="1"/>
  <c r="AS68" i="1"/>
  <c r="AT68" i="1" s="1"/>
  <c r="AV68" i="1" s="1"/>
  <c r="M76" i="1"/>
  <c r="AF76" i="1" s="1"/>
  <c r="K76" i="1"/>
  <c r="AE76" i="1"/>
  <c r="AU76" i="1" s="1"/>
  <c r="AW76" i="1" s="1"/>
  <c r="AE78" i="1"/>
  <c r="AU78" i="1" s="1"/>
  <c r="AW78" i="1" s="1"/>
  <c r="K78" i="1"/>
  <c r="M78" i="1"/>
  <c r="AF78" i="1" s="1"/>
  <c r="AD78" i="1"/>
  <c r="T46" i="1"/>
  <c r="K46" i="1" s="1"/>
  <c r="AD63" i="1"/>
  <c r="AH66" i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M71" i="1"/>
  <c r="AF71" i="1" s="1"/>
  <c r="AE71" i="1"/>
  <c r="AU71" i="1" s="1"/>
  <c r="AW71" i="1" s="1"/>
  <c r="K71" i="1"/>
  <c r="AD76" i="1"/>
  <c r="AE83" i="1"/>
  <c r="AU83" i="1" s="1"/>
  <c r="AW83" i="1" s="1"/>
  <c r="M83" i="1"/>
  <c r="AF83" i="1" s="1"/>
  <c r="K83" i="1"/>
  <c r="AE34" i="1"/>
  <c r="AU34" i="1" s="1"/>
  <c r="AW34" i="1" s="1"/>
  <c r="M40" i="1"/>
  <c r="AF40" i="1" s="1"/>
  <c r="AE40" i="1"/>
  <c r="AU40" i="1" s="1"/>
  <c r="AW40" i="1" s="1"/>
  <c r="AS47" i="1"/>
  <c r="AT47" i="1" s="1"/>
  <c r="AV47" i="1" s="1"/>
  <c r="M62" i="1"/>
  <c r="AF62" i="1" s="1"/>
  <c r="AE62" i="1"/>
  <c r="AU62" i="1" s="1"/>
  <c r="AW62" i="1" s="1"/>
  <c r="K62" i="1"/>
  <c r="AE70" i="1"/>
  <c r="AU70" i="1" s="1"/>
  <c r="AW70" i="1" s="1"/>
  <c r="K70" i="1"/>
  <c r="AS72" i="1"/>
  <c r="AT72" i="1" s="1"/>
  <c r="AV72" i="1" s="1"/>
  <c r="AG79" i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D83" i="1"/>
  <c r="AE42" i="1"/>
  <c r="AU42" i="1" s="1"/>
  <c r="AW42" i="1" s="1"/>
  <c r="AS48" i="1"/>
  <c r="AT48" i="1" s="1"/>
  <c r="AV48" i="1" s="1"/>
  <c r="M55" i="1"/>
  <c r="AF55" i="1" s="1"/>
  <c r="AE55" i="1"/>
  <c r="AU55" i="1" s="1"/>
  <c r="AW55" i="1" s="1"/>
  <c r="K55" i="1"/>
  <c r="AD56" i="1"/>
  <c r="M58" i="1"/>
  <c r="AF58" i="1" s="1"/>
  <c r="AE58" i="1"/>
  <c r="AU58" i="1" s="1"/>
  <c r="AW58" i="1" s="1"/>
  <c r="K58" i="1"/>
  <c r="AE61" i="1"/>
  <c r="AU61" i="1" s="1"/>
  <c r="AW61" i="1" s="1"/>
  <c r="K61" i="1"/>
  <c r="AS67" i="1"/>
  <c r="AT67" i="1" s="1"/>
  <c r="AV67" i="1" s="1"/>
  <c r="AD71" i="1"/>
  <c r="M75" i="1"/>
  <c r="AF75" i="1" s="1"/>
  <c r="AE75" i="1"/>
  <c r="AU75" i="1" s="1"/>
  <c r="AW75" i="1" s="1"/>
  <c r="K75" i="1"/>
  <c r="AG48" i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E56" i="1"/>
  <c r="AU56" i="1" s="1"/>
  <c r="AW56" i="1" s="1"/>
  <c r="AD58" i="1"/>
  <c r="AD62" i="1"/>
  <c r="AD65" i="1"/>
  <c r="AD70" i="1"/>
  <c r="AE77" i="1"/>
  <c r="AU77" i="1" s="1"/>
  <c r="AW77" i="1" s="1"/>
  <c r="K77" i="1"/>
  <c r="M77" i="1"/>
  <c r="AF77" i="1" s="1"/>
  <c r="AE87" i="1"/>
  <c r="AU87" i="1" s="1"/>
  <c r="AW87" i="1" s="1"/>
  <c r="M87" i="1"/>
  <c r="AF87" i="1" s="1"/>
  <c r="K87" i="1"/>
  <c r="AG128" i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/>
  <c r="AT128" i="1" s="1"/>
  <c r="AV128" i="1" s="1"/>
  <c r="AG73" i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E84" i="1"/>
  <c r="AU84" i="1" s="1"/>
  <c r="AW84" i="1" s="1"/>
  <c r="M84" i="1"/>
  <c r="AF84" i="1" s="1"/>
  <c r="K84" i="1"/>
  <c r="AS89" i="1"/>
  <c r="AT89" i="1" s="1"/>
  <c r="AV89" i="1" s="1"/>
  <c r="AG91" i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G93" i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/>
  <c r="AT93" i="1" s="1"/>
  <c r="AV93" i="1" s="1"/>
  <c r="AS95" i="1"/>
  <c r="AT95" i="1" s="1"/>
  <c r="AV95" i="1" s="1"/>
  <c r="AS100" i="1"/>
  <c r="AT100" i="1" s="1"/>
  <c r="AV100" i="1" s="1"/>
  <c r="AG100" i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G107" i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U66" i="1"/>
  <c r="AW66" i="1" s="1"/>
  <c r="AG97" i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M51" i="1"/>
  <c r="AF51" i="1" s="1"/>
  <c r="AS81" i="1"/>
  <c r="AT81" i="1" s="1"/>
  <c r="AV81" i="1" s="1"/>
  <c r="AD87" i="1"/>
  <c r="AS94" i="1"/>
  <c r="AT94" i="1" s="1"/>
  <c r="AV94" i="1" s="1"/>
  <c r="AS99" i="1"/>
  <c r="AT99" i="1" s="1"/>
  <c r="AV99" i="1" s="1"/>
  <c r="AG117" i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E51" i="1"/>
  <c r="AU51" i="1" s="1"/>
  <c r="AW51" i="1" s="1"/>
  <c r="AE82" i="1"/>
  <c r="AU82" i="1" s="1"/>
  <c r="AW82" i="1" s="1"/>
  <c r="M82" i="1"/>
  <c r="AF82" i="1" s="1"/>
  <c r="K82" i="1"/>
  <c r="AE86" i="1"/>
  <c r="AU86" i="1" s="1"/>
  <c r="AW86" i="1" s="1"/>
  <c r="M86" i="1"/>
  <c r="AF86" i="1" s="1"/>
  <c r="AD86" i="1"/>
  <c r="K86" i="1"/>
  <c r="AS88" i="1"/>
  <c r="AT88" i="1" s="1"/>
  <c r="AV88" i="1" s="1"/>
  <c r="AG92" i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/>
  <c r="AT92" i="1" s="1"/>
  <c r="AV92" i="1" s="1"/>
  <c r="AI109" i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/>
  <c r="AT109" i="1" s="1"/>
  <c r="AV109" i="1" s="1"/>
  <c r="AH110" i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/>
  <c r="AT110" i="1" s="1"/>
  <c r="AV110" i="1" s="1"/>
  <c r="AS101" i="1"/>
  <c r="AT101" i="1" s="1"/>
  <c r="AV101" i="1" s="1"/>
  <c r="AS104" i="1"/>
  <c r="AT104" i="1" s="1"/>
  <c r="AV104" i="1" s="1"/>
  <c r="AG104" i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5" i="1"/>
  <c r="AT105" i="1" s="1"/>
  <c r="AV105" i="1" s="1"/>
  <c r="AG105" i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K121" i="1"/>
  <c r="AL121" i="1" s="1"/>
  <c r="AM121" i="1" s="1"/>
  <c r="AN121" i="1" s="1"/>
  <c r="AO121" i="1" s="1"/>
  <c r="AP121" i="1" s="1"/>
  <c r="AQ121" i="1" s="1"/>
  <c r="AR121" i="1" s="1"/>
  <c r="K79" i="1"/>
  <c r="AD82" i="1"/>
  <c r="AG102" i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G130" i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H151" i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/>
  <c r="AU151" i="1" s="1"/>
  <c r="AW151" i="1" s="1"/>
  <c r="AH161" i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/>
  <c r="AU161" i="1" s="1"/>
  <c r="AW161" i="1" s="1"/>
  <c r="AG90" i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G96" i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G127" i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H142" i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N165" i="1"/>
  <c r="AO165" i="1" s="1"/>
  <c r="AP165" i="1" s="1"/>
  <c r="AQ165" i="1" s="1"/>
  <c r="AR165" i="1" s="1"/>
  <c r="AS165" i="1" s="1"/>
  <c r="AT165" i="1"/>
  <c r="AU165" i="1" s="1"/>
  <c r="AW165" i="1" s="1"/>
  <c r="AG112" i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06" i="1"/>
  <c r="AT106" i="1" s="1"/>
  <c r="AV106" i="1" s="1"/>
  <c r="AS114" i="1"/>
  <c r="AT114" i="1" s="1"/>
  <c r="AV114" i="1" s="1"/>
  <c r="AG120" i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/>
  <c r="AT120" i="1" s="1"/>
  <c r="AV120" i="1" s="1"/>
  <c r="AS122" i="1"/>
  <c r="AT122" i="1" s="1"/>
  <c r="AV122" i="1" s="1"/>
  <c r="AS124" i="1"/>
  <c r="AT124" i="1" s="1"/>
  <c r="AV124" i="1" s="1"/>
  <c r="AG126" i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R85" i="1"/>
  <c r="S85" i="1" s="1"/>
  <c r="T85" i="1" s="1"/>
  <c r="AG113" i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G115" i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G124" i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G135" i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/>
  <c r="AT135" i="1" s="1"/>
  <c r="AV135" i="1" s="1"/>
  <c r="AS125" i="1"/>
  <c r="AT125" i="1" s="1"/>
  <c r="AV125" i="1" s="1"/>
  <c r="AG98" i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108" i="1"/>
  <c r="AT108" i="1" s="1"/>
  <c r="AV108" i="1" s="1"/>
  <c r="AG111" i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6" i="1"/>
  <c r="AT116" i="1" s="1"/>
  <c r="AV116" i="1" s="1"/>
  <c r="AG116" i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H152" i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S138" i="1"/>
  <c r="AT138" i="1" s="1"/>
  <c r="AV138" i="1" s="1"/>
  <c r="AG138" i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1" i="1"/>
  <c r="AT131" i="1" s="1"/>
  <c r="AV131" i="1" s="1"/>
  <c r="AS132" i="1"/>
  <c r="AT132" i="1" s="1"/>
  <c r="AV132" i="1" s="1"/>
  <c r="AG139" i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T143" i="1"/>
  <c r="AU143" i="1" s="1"/>
  <c r="AW143" i="1" s="1"/>
  <c r="AT169" i="1"/>
  <c r="AU169" i="1" s="1"/>
  <c r="AW169" i="1" s="1"/>
  <c r="AS119" i="1"/>
  <c r="AT119" i="1" s="1"/>
  <c r="AV119" i="1" s="1"/>
  <c r="AG131" i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T157" i="1"/>
  <c r="AU157" i="1" s="1"/>
  <c r="AW157" i="1" s="1"/>
  <c r="AG132" i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7" i="1"/>
  <c r="AT137" i="1" s="1"/>
  <c r="AV137" i="1" s="1"/>
  <c r="AG137" i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T140" i="1"/>
  <c r="AU140" i="1" s="1"/>
  <c r="AW140" i="1" s="1"/>
  <c r="AH164" i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/>
  <c r="AU164" i="1" s="1"/>
  <c r="AW164" i="1" s="1"/>
  <c r="AG129" i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33" i="1"/>
  <c r="AT133" i="1" s="1"/>
  <c r="AV133" i="1" s="1"/>
  <c r="AG134" i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T141" i="1"/>
  <c r="AU141" i="1" s="1"/>
  <c r="AW141" i="1" s="1"/>
  <c r="AH144" i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/>
  <c r="AU144" i="1" s="1"/>
  <c r="AW144" i="1" s="1"/>
  <c r="AS136" i="1"/>
  <c r="AT136" i="1" s="1"/>
  <c r="AV136" i="1" s="1"/>
  <c r="AH141" i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H156" i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/>
  <c r="AU156" i="1" s="1"/>
  <c r="AW156" i="1" s="1"/>
  <c r="AT162" i="1"/>
  <c r="AU162" i="1" s="1"/>
  <c r="AW162" i="1" s="1"/>
  <c r="AT146" i="1"/>
  <c r="AU146" i="1" s="1"/>
  <c r="AW146" i="1" s="1"/>
  <c r="AT159" i="1"/>
  <c r="AU159" i="1" s="1"/>
  <c r="AW159" i="1" s="1"/>
  <c r="AT167" i="1"/>
  <c r="AU167" i="1" s="1"/>
  <c r="AW167" i="1" s="1"/>
  <c r="AT145" i="1"/>
  <c r="AU145" i="1" s="1"/>
  <c r="AW145" i="1" s="1"/>
  <c r="AT170" i="1"/>
  <c r="AU170" i="1" s="1"/>
  <c r="AW170" i="1" s="1"/>
  <c r="AH148" i="1"/>
  <c r="AH147" i="1"/>
  <c r="AT158" i="1"/>
  <c r="AU158" i="1" s="1"/>
  <c r="AW158" i="1" s="1"/>
  <c r="AT166" i="1"/>
  <c r="AU166" i="1" s="1"/>
  <c r="AW166" i="1" s="1"/>
  <c r="AT168" i="1"/>
  <c r="AU168" i="1" s="1"/>
  <c r="AW168" i="1" s="1"/>
  <c r="AT150" i="1"/>
  <c r="AU150" i="1" s="1"/>
  <c r="AW150" i="1" s="1"/>
  <c r="AH154" i="1"/>
  <c r="AT155" i="1"/>
  <c r="AU155" i="1" s="1"/>
  <c r="AW155" i="1" s="1"/>
  <c r="AT163" i="1"/>
  <c r="AU163" i="1" s="1"/>
  <c r="AW163" i="1" s="1"/>
  <c r="AT171" i="1"/>
  <c r="AU171" i="1" s="1"/>
  <c r="AW171" i="1" s="1"/>
  <c r="AT149" i="1"/>
  <c r="AU149" i="1" s="1"/>
  <c r="AW149" i="1" s="1"/>
  <c r="AH153" i="1"/>
  <c r="AT160" i="1"/>
  <c r="AU160" i="1" s="1"/>
  <c r="AW160" i="1" s="1"/>
  <c r="AE38" i="1" l="1"/>
  <c r="AU38" i="1" s="1"/>
  <c r="AW38" i="1" s="1"/>
  <c r="K38" i="1"/>
  <c r="M38" i="1"/>
  <c r="AF38" i="1" s="1"/>
  <c r="AD38" i="1"/>
  <c r="AG63" i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134" i="1"/>
  <c r="AT134" i="1" s="1"/>
  <c r="AV134" i="1" s="1"/>
  <c r="AS112" i="1"/>
  <c r="AT112" i="1" s="1"/>
  <c r="AV112" i="1" s="1"/>
  <c r="AS102" i="1"/>
  <c r="AT102" i="1" s="1"/>
  <c r="AV102" i="1" s="1"/>
  <c r="AS121" i="1"/>
  <c r="AT121" i="1" s="1"/>
  <c r="AV121" i="1" s="1"/>
  <c r="AG51" i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G84" i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G87" i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/>
  <c r="AT87" i="1" s="1"/>
  <c r="AV87" i="1" s="1"/>
  <c r="AG55" i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G40" i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3" i="1"/>
  <c r="AT43" i="1" s="1"/>
  <c r="AV43" i="1" s="1"/>
  <c r="AG65" i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V65" i="1" s="1"/>
  <c r="M34" i="1"/>
  <c r="AF34" i="1" s="1"/>
  <c r="K34" i="1"/>
  <c r="AS61" i="1"/>
  <c r="AT61" i="1" s="1"/>
  <c r="AV61" i="1" s="1"/>
  <c r="AG69" i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2" i="1"/>
  <c r="AG50" i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G42" i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G71" i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/>
  <c r="AT71" i="1" s="1"/>
  <c r="AV71" i="1" s="1"/>
  <c r="AG57" i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/>
  <c r="AT57" i="1" s="1"/>
  <c r="AV57" i="1" s="1"/>
  <c r="AS39" i="1"/>
  <c r="AT39" i="1" s="1"/>
  <c r="AV39" i="1" s="1"/>
  <c r="AE35" i="1"/>
  <c r="AU35" i="1" s="1"/>
  <c r="AW35" i="1" s="1"/>
  <c r="M35" i="1"/>
  <c r="AF35" i="1" s="1"/>
  <c r="AD35" i="1"/>
  <c r="K35" i="1"/>
  <c r="AS64" i="1"/>
  <c r="AT64" i="1" s="1"/>
  <c r="AV64" i="1" s="1"/>
  <c r="AG64" i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28" i="1"/>
  <c r="AT28" i="1" s="1"/>
  <c r="AV28" i="1" s="1"/>
  <c r="AS6" i="1"/>
  <c r="AT6" i="1" s="1"/>
  <c r="AV6" i="1" s="1"/>
  <c r="AG86" i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117" i="1"/>
  <c r="AT117" i="1" s="1"/>
  <c r="AV117" i="1" s="1"/>
  <c r="AS97" i="1"/>
  <c r="AT97" i="1" s="1"/>
  <c r="AV97" i="1" s="1"/>
  <c r="AS77" i="1"/>
  <c r="AT77" i="1" s="1"/>
  <c r="AV77" i="1" s="1"/>
  <c r="AG77" i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66" i="1"/>
  <c r="AT66" i="1" s="1"/>
  <c r="AV66" i="1" s="1"/>
  <c r="AS118" i="1"/>
  <c r="AT118" i="1" s="1"/>
  <c r="AV118" i="1" s="1"/>
  <c r="AS32" i="1"/>
  <c r="AT32" i="1" s="1"/>
  <c r="AV32" i="1" s="1"/>
  <c r="AE36" i="1"/>
  <c r="AU36" i="1" s="1"/>
  <c r="AW36" i="1" s="1"/>
  <c r="M36" i="1"/>
  <c r="AF36" i="1" s="1"/>
  <c r="K36" i="1"/>
  <c r="AS41" i="1"/>
  <c r="AT41" i="1" s="1"/>
  <c r="AV41" i="1" s="1"/>
  <c r="AS12" i="1"/>
  <c r="AT12" i="1" s="1"/>
  <c r="AV12" i="1" s="1"/>
  <c r="AG78" i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I147" i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/>
  <c r="AU147" i="1" s="1"/>
  <c r="AW147" i="1" s="1"/>
  <c r="AS139" i="1"/>
  <c r="AT139" i="1" s="1"/>
  <c r="AV139" i="1" s="1"/>
  <c r="AS111" i="1"/>
  <c r="AT111" i="1" s="1"/>
  <c r="AV111" i="1" s="1"/>
  <c r="AS115" i="1"/>
  <c r="AT115" i="1" s="1"/>
  <c r="AV115" i="1" s="1"/>
  <c r="AG62" i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G83" i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59" i="1"/>
  <c r="AT59" i="1" s="1"/>
  <c r="AV59" i="1" s="1"/>
  <c r="AG59" i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31" i="1"/>
  <c r="AT31" i="1" s="1"/>
  <c r="AV31" i="1" s="1"/>
  <c r="AG80" i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52" i="1"/>
  <c r="AT52" i="1" s="1"/>
  <c r="AV52" i="1" s="1"/>
  <c r="AS7" i="1"/>
  <c r="AT7" i="1" s="1"/>
  <c r="AV7" i="1" s="1"/>
  <c r="AI153" i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/>
  <c r="AU153" i="1" s="1"/>
  <c r="AW153" i="1" s="1"/>
  <c r="AI148" i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I154" i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S129" i="1"/>
  <c r="AT129" i="1" s="1"/>
  <c r="AV129" i="1" s="1"/>
  <c r="AS113" i="1"/>
  <c r="AT113" i="1" s="1"/>
  <c r="AV113" i="1" s="1"/>
  <c r="AT142" i="1"/>
  <c r="AU142" i="1" s="1"/>
  <c r="AW142" i="1" s="1"/>
  <c r="AS96" i="1"/>
  <c r="AT96" i="1" s="1"/>
  <c r="AV96" i="1" s="1"/>
  <c r="AS107" i="1"/>
  <c r="AT107" i="1" s="1"/>
  <c r="AV107" i="1" s="1"/>
  <c r="AS91" i="1"/>
  <c r="AT91" i="1" s="1"/>
  <c r="AV91" i="1" s="1"/>
  <c r="AS58" i="1"/>
  <c r="AT58" i="1" s="1"/>
  <c r="AV58" i="1" s="1"/>
  <c r="AG58" i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79" i="1"/>
  <c r="AT79" i="1" s="1"/>
  <c r="AV79" i="1" s="1"/>
  <c r="AG56" i="1"/>
  <c r="AG76" i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49" i="1"/>
  <c r="AT49" i="1" s="1"/>
  <c r="AV49" i="1" s="1"/>
  <c r="AG70" i="1"/>
  <c r="AE37" i="1"/>
  <c r="AU37" i="1" s="1"/>
  <c r="AW37" i="1" s="1"/>
  <c r="M37" i="1"/>
  <c r="AF37" i="1" s="1"/>
  <c r="K37" i="1"/>
  <c r="AG45" i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/>
  <c r="AT45" i="1" s="1"/>
  <c r="AV45" i="1" s="1"/>
  <c r="AG60" i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D37" i="1"/>
  <c r="AS5" i="1"/>
  <c r="AT5" i="1" s="1"/>
  <c r="AV5" i="1" s="1"/>
  <c r="AS13" i="1"/>
  <c r="AT13" i="1" s="1"/>
  <c r="AV13" i="1" s="1"/>
  <c r="AS3" i="1"/>
  <c r="AT3" i="1" s="1"/>
  <c r="AV3" i="1" s="1"/>
  <c r="AE85" i="1"/>
  <c r="AU85" i="1" s="1"/>
  <c r="AW85" i="1" s="1"/>
  <c r="M85" i="1"/>
  <c r="AF85" i="1" s="1"/>
  <c r="K85" i="1"/>
  <c r="AG82" i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90" i="1"/>
  <c r="AT90" i="1" s="1"/>
  <c r="AV90" i="1" s="1"/>
  <c r="AS98" i="1"/>
  <c r="AT98" i="1" s="1"/>
  <c r="AV98" i="1" s="1"/>
  <c r="AG75" i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M46" i="1"/>
  <c r="AF46" i="1" s="1"/>
  <c r="AE46" i="1"/>
  <c r="AU46" i="1" s="1"/>
  <c r="AW46" i="1" s="1"/>
  <c r="AG54" i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D36" i="1"/>
  <c r="AT152" i="1"/>
  <c r="AU152" i="1" s="1"/>
  <c r="AW152" i="1" s="1"/>
  <c r="AS126" i="1"/>
  <c r="AT126" i="1" s="1"/>
  <c r="AV126" i="1" s="1"/>
  <c r="AS127" i="1"/>
  <c r="AT127" i="1" s="1"/>
  <c r="AV127" i="1" s="1"/>
  <c r="AS130" i="1"/>
  <c r="AT130" i="1" s="1"/>
  <c r="AV130" i="1" s="1"/>
  <c r="AD85" i="1"/>
  <c r="AS73" i="1"/>
  <c r="AT73" i="1" s="1"/>
  <c r="AV73" i="1" s="1"/>
  <c r="AD46" i="1"/>
  <c r="AG33" i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44" i="1"/>
  <c r="AT44" i="1" s="1"/>
  <c r="AV44" i="1" s="1"/>
  <c r="AS4" i="1"/>
  <c r="AT4" i="1" s="1"/>
  <c r="AV4" i="1" s="1"/>
  <c r="AS76" i="1" l="1"/>
  <c r="AT76" i="1" s="1"/>
  <c r="AV76" i="1" s="1"/>
  <c r="AS86" i="1"/>
  <c r="AT86" i="1" s="1"/>
  <c r="AV86" i="1" s="1"/>
  <c r="AH56" i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/>
  <c r="AT56" i="1" s="1"/>
  <c r="AV56" i="1" s="1"/>
  <c r="AS83" i="1"/>
  <c r="AT83" i="1" s="1"/>
  <c r="AV83" i="1" s="1"/>
  <c r="AS50" i="1"/>
  <c r="AT50" i="1" s="1"/>
  <c r="AV50" i="1" s="1"/>
  <c r="AS75" i="1"/>
  <c r="AT75" i="1" s="1"/>
  <c r="AV75" i="1" s="1"/>
  <c r="AS62" i="1"/>
  <c r="AT62" i="1" s="1"/>
  <c r="AV62" i="1" s="1"/>
  <c r="AS78" i="1"/>
  <c r="AT78" i="1" s="1"/>
  <c r="AV78" i="1" s="1"/>
  <c r="BC2" i="1"/>
  <c r="AT2" i="1"/>
  <c r="AV2" i="1" s="1"/>
  <c r="AS84" i="1"/>
  <c r="AT84" i="1" s="1"/>
  <c r="AV84" i="1" s="1"/>
  <c r="AS63" i="1"/>
  <c r="AT63" i="1" s="1"/>
  <c r="AV63" i="1" s="1"/>
  <c r="AG34" i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G37" i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T154" i="1"/>
  <c r="AU154" i="1" s="1"/>
  <c r="AW154" i="1" s="1"/>
  <c r="AS80" i="1"/>
  <c r="AT80" i="1" s="1"/>
  <c r="AV80" i="1" s="1"/>
  <c r="AS69" i="1"/>
  <c r="AT69" i="1" s="1"/>
  <c r="AV69" i="1" s="1"/>
  <c r="AS40" i="1"/>
  <c r="AT40" i="1" s="1"/>
  <c r="AV40" i="1" s="1"/>
  <c r="AS51" i="1"/>
  <c r="AT51" i="1" s="1"/>
  <c r="AV51" i="1" s="1"/>
  <c r="AG35" i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/>
  <c r="AT35" i="1" s="1"/>
  <c r="AV35" i="1" s="1"/>
  <c r="AG85" i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33" i="1"/>
  <c r="AT33" i="1" s="1"/>
  <c r="AV33" i="1" s="1"/>
  <c r="AG38" i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54" i="1"/>
  <c r="AT54" i="1" s="1"/>
  <c r="AV54" i="1" s="1"/>
  <c r="AS82" i="1"/>
  <c r="AT82" i="1" s="1"/>
  <c r="AV82" i="1" s="1"/>
  <c r="AH70" i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T148" i="1"/>
  <c r="AU148" i="1" s="1"/>
  <c r="AW148" i="1" s="1"/>
  <c r="AS55" i="1"/>
  <c r="AT55" i="1" s="1"/>
  <c r="AV55" i="1" s="1"/>
  <c r="AG46" i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60" i="1"/>
  <c r="AT60" i="1" s="1"/>
  <c r="AV60" i="1" s="1"/>
  <c r="AG36" i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42" i="1"/>
  <c r="AT42" i="1" s="1"/>
  <c r="AV42" i="1" s="1"/>
  <c r="AS34" i="1" l="1"/>
  <c r="AT34" i="1" s="1"/>
  <c r="AV34" i="1" s="1"/>
  <c r="AS46" i="1"/>
  <c r="AT46" i="1" s="1"/>
  <c r="AV46" i="1" s="1"/>
  <c r="AS36" i="1"/>
  <c r="AT36" i="1" s="1"/>
  <c r="AV36" i="1" s="1"/>
  <c r="AS38" i="1"/>
  <c r="AT38" i="1" s="1"/>
  <c r="AV38" i="1" s="1"/>
  <c r="AS85" i="1"/>
  <c r="AT85" i="1" s="1"/>
  <c r="AV85" i="1" s="1"/>
  <c r="AS70" i="1"/>
  <c r="AT70" i="1" s="1"/>
  <c r="AV70" i="1" s="1"/>
  <c r="AS37" i="1"/>
  <c r="AT37" i="1" s="1"/>
  <c r="AV37" i="1" s="1"/>
</calcChain>
</file>

<file path=xl/sharedStrings.xml><?xml version="1.0" encoding="utf-8"?>
<sst xmlns="http://schemas.openxmlformats.org/spreadsheetml/2006/main" count="1208" uniqueCount="327">
  <si>
    <t>№</t>
  </si>
  <si>
    <t>пп</t>
  </si>
  <si>
    <t xml:space="preserve">Объект оценки </t>
  </si>
  <si>
    <t>Наименование ЖК</t>
  </si>
  <si>
    <t>Улица</t>
  </si>
  <si>
    <t>Дом</t>
  </si>
  <si>
    <t>Квартира</t>
  </si>
  <si>
    <t>Адрес</t>
  </si>
  <si>
    <t>Количество</t>
  </si>
  <si>
    <t>Рыночная цена</t>
  </si>
  <si>
    <t>Рыночная цена деленая пропорционально на количество оформленных договоров</t>
  </si>
  <si>
    <t>Балансовая стоимость на 31 декабря 2025 года</t>
  </si>
  <si>
    <t>Балансовая стоимость на 31 декабря 2025 года деленая пропорционально на количество оформленных договоров</t>
  </si>
  <si>
    <t>Количество комнат</t>
  </si>
  <si>
    <t>Общая площадь</t>
  </si>
  <si>
    <t>Жилая площадь</t>
  </si>
  <si>
    <t>Занимаемая площадь в квартире при СП</t>
  </si>
  <si>
    <t>Общая площадь в СП квартирах (которая делится на всех проживающих пропорционально)</t>
  </si>
  <si>
    <t>Общая площадь в СП квартирах на каждого проживающего</t>
  </si>
  <si>
    <t>ИТОГО площадь к расчету</t>
  </si>
  <si>
    <t>ФИО проживающих</t>
  </si>
  <si>
    <t>Совместное проживание</t>
  </si>
  <si>
    <t>Количество совместно проживающих</t>
  </si>
  <si>
    <t>Примечание</t>
  </si>
  <si>
    <t>Корректировка базовых ставок земельного налога с.510 НКРК (зона)</t>
  </si>
  <si>
    <t>Базовая ставка земельного налога г. Астана, ст.505 НК РК</t>
  </si>
  <si>
    <t>Корректировка базовых ставок земельного налога с.510 НКРК (зона) для расчета (потом откорректировать правильно)</t>
  </si>
  <si>
    <t>Кооректировочный коэффициент</t>
  </si>
  <si>
    <t>Ставка земельного налога</t>
  </si>
  <si>
    <t>Земельный налог в год</t>
  </si>
  <si>
    <t>Амортизация в месяц</t>
  </si>
  <si>
    <t>Балансовая стоимость 1 месяц 2026</t>
  </si>
  <si>
    <t>Балансовая стоимость 2 месяц 2026</t>
  </si>
  <si>
    <t>Балансовая стоимость 3 месяц 2026</t>
  </si>
  <si>
    <t>Балансовая стоимость 4 месяц 2026</t>
  </si>
  <si>
    <t>Балансовая стоимость 5 месяц 2026</t>
  </si>
  <si>
    <t>Балансовая стоимость 6 месяц 2026</t>
  </si>
  <si>
    <t>Балансовая стоимость 7 месяц 2026</t>
  </si>
  <si>
    <t>Балансовая стоимость 8 месяц 2026</t>
  </si>
  <si>
    <t>Балансовая стоимость 9 месяц 2026</t>
  </si>
  <si>
    <t>Балансовая стоимость 10 месяц 2026</t>
  </si>
  <si>
    <t>Балансовая стоимость 11 месяц 2026</t>
  </si>
  <si>
    <t>Балансовая стоимость 12 месяц 2026</t>
  </si>
  <si>
    <t xml:space="preserve">Балансовая стоимость 13 месяц </t>
  </si>
  <si>
    <t>Имущественный налог в год 2026</t>
  </si>
  <si>
    <t>Земельный налог+имущественный налог в год 2026</t>
  </si>
  <si>
    <t>Материальная выгода 
(амортизация в месяц)</t>
  </si>
  <si>
    <t>Себестоимость 
сумма возмещения в месяц удержание из ЗП на 2026 год</t>
  </si>
  <si>
    <t>Налоооблагаемая база</t>
  </si>
  <si>
    <t>СТАТУС ДОГОВОРА</t>
  </si>
  <si>
    <t>Договор найма жилья номер дата</t>
  </si>
  <si>
    <t xml:space="preserve">2-х комнатная квартира </t>
  </si>
  <si>
    <t>Зерде</t>
  </si>
  <si>
    <t>Кудайбердыулы</t>
  </si>
  <si>
    <t>4</t>
  </si>
  <si>
    <t>Мадияров Дархан Дилдабекович</t>
  </si>
  <si>
    <t>Нет</t>
  </si>
  <si>
    <t>Зона 1</t>
  </si>
  <si>
    <t xml:space="preserve">3-х комнатная квартира </t>
  </si>
  <si>
    <t>Есимханов Болат Амирбергенович</t>
  </si>
  <si>
    <t>Фетисов Евгений Николаевич</t>
  </si>
  <si>
    <t>Искаков Алишер Аскарбекович</t>
  </si>
  <si>
    <t>Лазурный квартал</t>
  </si>
  <si>
    <t>Сарайшык</t>
  </si>
  <si>
    <t>5Г</t>
  </si>
  <si>
    <t>Гостевая служебная квартира</t>
  </si>
  <si>
    <t>5В</t>
  </si>
  <si>
    <t>Гостевая служебная квартира Асылмуратова</t>
  </si>
  <si>
    <t xml:space="preserve">Гостевая служебная квартира  Бажбеук-Меликян Саргис </t>
  </si>
  <si>
    <t>5Д</t>
  </si>
  <si>
    <t>Исин Саян Жасуланович заехал с 1 марта</t>
  </si>
  <si>
    <t>Гостевая служебная квартира пустая Шерстнева выехала 31 декабря 2025</t>
  </si>
  <si>
    <t>Шангалиев Хамит Халелович</t>
  </si>
  <si>
    <t>Конусбаев Марат Бекетович</t>
  </si>
  <si>
    <t>Саипов Ержан Русланович</t>
  </si>
  <si>
    <t>Габдуллина Жупар Бактыбековна</t>
  </si>
  <si>
    <t>Галеев Талгат Ермуханович</t>
  </si>
  <si>
    <t>Гостевая служебная квартира Бурибаев</t>
  </si>
  <si>
    <t>Көшкінбаев Дінмұхамед Болатұлы</t>
  </si>
  <si>
    <t>Сармат-2</t>
  </si>
  <si>
    <t>Сауран</t>
  </si>
  <si>
    <t>3/1</t>
  </si>
  <si>
    <t>Нурбатурова Бибигуль Куанышевна</t>
  </si>
  <si>
    <t>Жамбулаев Ерлан Урумбасарович</t>
  </si>
  <si>
    <t>Хасенова Кундыз Галихановна</t>
  </si>
  <si>
    <t>Затула Ксения Александровна</t>
  </si>
  <si>
    <t>Хан-тенгри</t>
  </si>
  <si>
    <t>Сембинова</t>
  </si>
  <si>
    <t>Сейдахмет Жәнібек Хамитұлы</t>
  </si>
  <si>
    <t>Зона 2</t>
  </si>
  <si>
    <t>Виктория</t>
  </si>
  <si>
    <t>Б. Момышулы</t>
  </si>
  <si>
    <t>Байгазиновой Галие Бейсенбековне</t>
  </si>
  <si>
    <t>Ахметова Салтанат Сериковна</t>
  </si>
  <si>
    <t>Жанұзақ Бибiгүл Жасаралықызы</t>
  </si>
  <si>
    <t>Тойкенов Нарул Махмутович</t>
  </si>
  <si>
    <t>Жагалау-3</t>
  </si>
  <si>
    <t>36/1</t>
  </si>
  <si>
    <t>Муратбекова Салтанат Укеновна</t>
  </si>
  <si>
    <t>Емелканов Ержан Омарбекович</t>
  </si>
  <si>
    <t>Оспанбаев Чингис Асетович</t>
  </si>
  <si>
    <t>Рафиков Азамат Азатович</t>
  </si>
  <si>
    <t>Нусуппаева Гаухар Анваровна</t>
  </si>
  <si>
    <t>Талгарова Багиля Насыровна</t>
  </si>
  <si>
    <t>Да</t>
  </si>
  <si>
    <t>Комната 1 - 29,0 кв.м.</t>
  </si>
  <si>
    <t xml:space="preserve">Бағлан Әмина Бағланқызы </t>
  </si>
  <si>
    <t>Комната 1 - 17,0 кв.м.</t>
  </si>
  <si>
    <t>Мухатаева Акерке Толеугалиевна</t>
  </si>
  <si>
    <t>Команат 2 - 13,2 кв.м.</t>
  </si>
  <si>
    <t>Зәйдін Досхан Жомартұлы</t>
  </si>
  <si>
    <t>Комната 1 - 29,2 кв.м</t>
  </si>
  <si>
    <t>Пустая Токов Нима Эдуардович съедет с 1 июня 2026</t>
  </si>
  <si>
    <t>Комната 2 - 17,8 кв.м.</t>
  </si>
  <si>
    <t>Пустая</t>
  </si>
  <si>
    <t>Комната 3 - 13,3 кв.м.</t>
  </si>
  <si>
    <t>Кабиденов Бауыржан Аманбаевич</t>
  </si>
  <si>
    <t>Сапа-2007</t>
  </si>
  <si>
    <t>Исенгужинова Аяна Ерденовна</t>
  </si>
  <si>
    <t>Комната 1 - 24,2 кв.м.</t>
  </si>
  <si>
    <t>Исенгужинова Аяна Ерденовна заехала с 1 февраля 2026</t>
  </si>
  <si>
    <t>Сапа-2008</t>
  </si>
  <si>
    <t>Нариман Іңкәр</t>
  </si>
  <si>
    <t>Нариман Іңкәр заехала 01 февраля 2026</t>
  </si>
  <si>
    <t>Жаңабергенова Айгерім Толыбайқызы</t>
  </si>
  <si>
    <t>Комната 2 - 19,9 кв.м.</t>
  </si>
  <si>
    <t>Ержанов Абай Бахытжанович</t>
  </si>
  <si>
    <t>Омарова Жазира Нартбаевна</t>
  </si>
  <si>
    <t>Құрманаева Аида Жұмағалиқызы</t>
  </si>
  <si>
    <t>Комната 1 - 9,8 кв.м.</t>
  </si>
  <si>
    <t>Ғабдысамат Анар Ғаниқызы заехала 1 мая</t>
  </si>
  <si>
    <t>Комната 2 - 27,1 кв.м.</t>
  </si>
  <si>
    <t>Сулейменов Максат Медетбекович</t>
  </si>
  <si>
    <t>Еркен Ая с 1 февраля заехала</t>
  </si>
  <si>
    <t>Идрисов Алихан Ерланович</t>
  </si>
  <si>
    <t>Акселеуова Жадыра Асетовна</t>
  </si>
  <si>
    <t>Комната 1 - 27,0 кв.м.</t>
  </si>
  <si>
    <t>Комната 2 - 15,6 кв.м.</t>
  </si>
  <si>
    <t>Жумажанова Жулдыз Әмірғалиқызы</t>
  </si>
  <si>
    <t>Назарбеков Тулеген Толеутаевич</t>
  </si>
  <si>
    <t>Акку</t>
  </si>
  <si>
    <t>Е30</t>
  </si>
  <si>
    <t>Жилой комплекс Акку, ул. Е30, дом 5, кв. 116</t>
  </si>
  <si>
    <t>Пустая Бейшекеев Диас Меделевич с 1 января не живет</t>
  </si>
  <si>
    <t>Комната 1 - 27,3 кв.м</t>
  </si>
  <si>
    <t>Зона 3</t>
  </si>
  <si>
    <t>Кисембаева Амина Бахтияровна</t>
  </si>
  <si>
    <t>Комната 2 - 18,3 кв.м</t>
  </si>
  <si>
    <t>Пустая Bazarbaev Erkin съехал с 1 мая 2026</t>
  </si>
  <si>
    <t>Комната 3 - 11,9 кв.м</t>
  </si>
  <si>
    <t>Жилой комплекс Акку, ул. Е30, дом 5, кв. 128</t>
  </si>
  <si>
    <t>Комната 1 - 27,4 кв.м</t>
  </si>
  <si>
    <t>Пустая 18,4 кв.м.</t>
  </si>
  <si>
    <t>Комната 2 - 18,4 кв.м</t>
  </si>
  <si>
    <t>Пустая 12,1 кв.м.</t>
  </si>
  <si>
    <t>Комната 3 - 12,1 кв.м</t>
  </si>
  <si>
    <t>Жилой комплекс Акку, ул. Е30, дом 5, кв. 130</t>
  </si>
  <si>
    <t xml:space="preserve">Sudo Mao </t>
  </si>
  <si>
    <t>Комната 1 - 12,6 кв.м</t>
  </si>
  <si>
    <t xml:space="preserve">Токов Нима Эдуардович </t>
  </si>
  <si>
    <t>Комната 2 - 16,2 кв.м</t>
  </si>
  <si>
    <t>Хван Амир Санатович</t>
  </si>
  <si>
    <t>Комната 3 - 16,4 кв.м</t>
  </si>
  <si>
    <t>Жилой комплекс Акку, ул. Е30, дом 5, кв. 153</t>
  </si>
  <si>
    <t>Пустая Айдарова Лимара Досанқызы съехала с 8 июля 2026</t>
  </si>
  <si>
    <t>Комната 1 - 26,7 кв.м</t>
  </si>
  <si>
    <t>Ескалиева Диана Маратовна</t>
  </si>
  <si>
    <t>Комната 2 - 14,6 кв.м</t>
  </si>
  <si>
    <t>Токен Алманұр Ғадылжанқызы</t>
  </si>
  <si>
    <t>Комната 3 - 13,9 кв.м</t>
  </si>
  <si>
    <t>Жилой комплекс Акку, ул. Е30, дом 5, кв. 165</t>
  </si>
  <si>
    <t>Уразов Арман Серикбаевич</t>
  </si>
  <si>
    <t>Жилой комплекс Акку, ул. Е30, дом 5, кв. 174</t>
  </si>
  <si>
    <t>Тарланов Олжас Муратович</t>
  </si>
  <si>
    <t>Жилой комплекс Акку, ул. Е30, дом 5, кв. 178</t>
  </si>
  <si>
    <t>Bekbabaev Rakhmatali</t>
  </si>
  <si>
    <t>Жилой комплекс Акку, ул. Е30, дом 5, кв. 186</t>
  </si>
  <si>
    <t>Пустая комната 11,9 кв.м</t>
  </si>
  <si>
    <t>Комната 1 - 11,9 кв.м</t>
  </si>
  <si>
    <t>Қайпбай Ислам Бисембайұлы</t>
  </si>
  <si>
    <t>Ахмедиев Жанибек Кенжеканович</t>
  </si>
  <si>
    <t>Комната 3 - 27,3 кв.м</t>
  </si>
  <si>
    <t>Жилой комплекс Акку, ул. Е30, дом 5, кв. 205</t>
  </si>
  <si>
    <t>Пустая Ихлас Гаухар съехала 13 февраля 2026</t>
  </si>
  <si>
    <t>Жилой комплекс Акку, ул. Е30, дом 5, кв. 207</t>
  </si>
  <si>
    <t>Рахматуллаев Еркин Елнурулы</t>
  </si>
  <si>
    <t>Жилой комплекс Акку, ул. Е30, дом 5, кв. 208</t>
  </si>
  <si>
    <t>Нугербеков Расул Базарович</t>
  </si>
  <si>
    <t>Жилой комплекс Акку, ул. Е30, дом 5, кв. 424</t>
  </si>
  <si>
    <t>Пустая Канагат Руслан съехал с 1 марта</t>
  </si>
  <si>
    <t>Комната 1 - 27 кв.м</t>
  </si>
  <si>
    <t>пустая 18,5 кв.м.</t>
  </si>
  <si>
    <t>Комната 2 - 18,5 кв.м</t>
  </si>
  <si>
    <t>Пустая 12 кв.м</t>
  </si>
  <si>
    <t>Комната 3 - 12 кв.м</t>
  </si>
  <si>
    <t>Жилой комплекс Акку, ул. Е30, дом 5, кв. 437</t>
  </si>
  <si>
    <t>MADOKO YONO съезжает 15 июля 2026</t>
  </si>
  <si>
    <t>Комната 1 - 10,7 кв.м</t>
  </si>
  <si>
    <t>Беккер Ирина Сергеевна</t>
  </si>
  <si>
    <t>Комната 2 - 16,8 кв.м</t>
  </si>
  <si>
    <t>IRIE KANNA</t>
  </si>
  <si>
    <t>Комната 3 - 11,6 кв.м</t>
  </si>
  <si>
    <t>Жилой комплекс Акку, ул. Е30, дом 5, кв. 514</t>
  </si>
  <si>
    <t>Сауқымбеков Жақсылық Бақбергенұлы заехал в комнату 1 мая 2026</t>
  </si>
  <si>
    <t>Комната 1 - 14,1 кв.м</t>
  </si>
  <si>
    <t>Есекенов Чингис Бердкаирович</t>
  </si>
  <si>
    <t>Комната 2 - 14,8 кв.м</t>
  </si>
  <si>
    <t>Пустая Сауқымбеков Жақсылық Бақбергенұлы с1 мая 2026 года не живет</t>
  </si>
  <si>
    <t>Комната 3 - 30,4 кв.м</t>
  </si>
  <si>
    <t>Жилой комплекс Акку, ул. Е30, дом 5, кв. 516</t>
  </si>
  <si>
    <t xml:space="preserve">Kamar Ikbalova Vega </t>
  </si>
  <si>
    <t>Комната 1 - 7,15кв.м из  14,3 кв.м живут в двоем</t>
  </si>
  <si>
    <t>Е31</t>
  </si>
  <si>
    <t>Bazarbaev Erkin</t>
  </si>
  <si>
    <t>Шахманова Камила Абзаловна</t>
  </si>
  <si>
    <t>Халимулла Аиша Ңығметоллақызы</t>
  </si>
  <si>
    <t>Комната 3 - 29,8 кв.м</t>
  </si>
  <si>
    <t xml:space="preserve">1-х комнатная квартира </t>
  </si>
  <si>
    <t>ЖК</t>
  </si>
  <si>
    <t>Кенен Азирбаев</t>
  </si>
  <si>
    <t>6/2</t>
  </si>
  <si>
    <t xml:space="preserve">ул. Кенен Азирбаев, дом 6/2, кв. 11 </t>
  </si>
  <si>
    <t>Кожабеков Бостан Жанатайулы</t>
  </si>
  <si>
    <t>ул. Кенен Азирбаев, дом 6/2, кв. 18</t>
  </si>
  <si>
    <t>Бейсенбаев Ұлан Нұрланұлы</t>
  </si>
  <si>
    <t>ул. Кенен Азирбаев, дом 6/2, кв. 39</t>
  </si>
  <si>
    <t>Искаков Кизат Уркимбаевич</t>
  </si>
  <si>
    <t>ул. Кенен Азирбаев, дом 6/2, кв. 53</t>
  </si>
  <si>
    <t>Ахметов Жансерік Махмутұлы</t>
  </si>
  <si>
    <t>Браво</t>
  </si>
  <si>
    <t>17</t>
  </si>
  <si>
    <t>Жилой комплекс Браво, Ш.Калдаякова дом 17, кв. 277</t>
  </si>
  <si>
    <t>Балакишиев Рамзат Балавердиевич</t>
  </si>
  <si>
    <t>Жилой комплекс Браво, Ш.Калдаякова дом 17, кв. 614</t>
  </si>
  <si>
    <t>Зейнолла Әлихан
Есенжанұлы</t>
  </si>
  <si>
    <t xml:space="preserve">Комната в общежитии </t>
  </si>
  <si>
    <t>Общежитие</t>
  </si>
  <si>
    <t>Республики</t>
  </si>
  <si>
    <t>Нұржанов Нұрлыбек Қосматұлы</t>
  </si>
  <si>
    <t xml:space="preserve">Кенжебаев Мадияр Атабекұлы </t>
  </si>
  <si>
    <t>Ахметбеков Келис Ахметбекович</t>
  </si>
  <si>
    <t>Жаханов Айбек Хайдарұлы</t>
  </si>
  <si>
    <t>Бижанов Асхат Султанович</t>
  </si>
  <si>
    <t>Ташкенбаев Ахат Манатбекович</t>
  </si>
  <si>
    <t>Курманов Арман Ерикович</t>
  </si>
  <si>
    <t>Төлеген Аян Шыңғысбайұлы</t>
  </si>
  <si>
    <t>Төлеген Медет Щынғысбайұлы</t>
  </si>
  <si>
    <t>Султанғазы Алғыс Мақсұтжанұлы</t>
  </si>
  <si>
    <t>Ахмеджанова Ширин Шавкаткизи</t>
  </si>
  <si>
    <t>Расылхан Шыңғыс Абылханұлы</t>
  </si>
  <si>
    <t>Колдыбаев Данияр Алиевич</t>
  </si>
  <si>
    <t>Рахимжанов Дархан Курманбаевич</t>
  </si>
  <si>
    <t>Байдол Дагыс</t>
  </si>
  <si>
    <t>Пустая Қадырханов Мерей Советханұлы съезжает с 12 июля 2026 года</t>
  </si>
  <si>
    <t>Абикаров Кенжегали Адильханұлы</t>
  </si>
  <si>
    <t>Шайкемелов Амир Ержанович</t>
  </si>
  <si>
    <t>Лазаревич Иван Павлович</t>
  </si>
  <si>
    <t>Нажбудинов Ильяс Сайфудинович</t>
  </si>
  <si>
    <t>Бекжанов Бауыржан Жуманович</t>
  </si>
  <si>
    <t>Ораз Жәмиля Жәнібекқызы</t>
  </si>
  <si>
    <t xml:space="preserve">Мукашев Жанибек Абдкаримович </t>
  </si>
  <si>
    <t>Әбілқасымов Азат</t>
  </si>
  <si>
    <t xml:space="preserve">Ахметов Канат </t>
  </si>
  <si>
    <t>Закирьянов Ескен Канатович</t>
  </si>
  <si>
    <t>Хамитова Алина Игоревна</t>
  </si>
  <si>
    <t>Сагимбаев Куаныш Акылгазыевич</t>
  </si>
  <si>
    <t>Мұхтар Бексұлтан Бауыржанұлы</t>
  </si>
  <si>
    <t>Ахатова Дамирям Мухаметжановна</t>
  </si>
  <si>
    <t>Абикаров Мейрамбек Адильханович</t>
  </si>
  <si>
    <t>Сәрсенбекова Рауана Бейбітқызы заехала 1 мая 2026 в пустую квартиру</t>
  </si>
  <si>
    <t>Мейрманов Айбек Талгатович</t>
  </si>
  <si>
    <t>Байбосынов Жандос Асқарәліұлы</t>
  </si>
  <si>
    <t>Ахметов Аркен Аманжолович</t>
  </si>
  <si>
    <t>Бекен Аблай Сергазыұлы с 8 июля 2026г съезжает, Қадырханов Мерей Советханұлы 13 июля заезжает</t>
  </si>
  <si>
    <t>Басбаев Серик Турсынбекович</t>
  </si>
  <si>
    <t>Смагулов Жандос Асылханович</t>
  </si>
  <si>
    <t>Шаймаков Бахтияр Алимжанович</t>
  </si>
  <si>
    <t>Ахметжанова Айжан Кайрбековна</t>
  </si>
  <si>
    <t>Аллабиринов Талгат Бердавлетович</t>
  </si>
  <si>
    <t xml:space="preserve"> Жакупов Еркебулан Сембаевич</t>
  </si>
  <si>
    <t>Баянбаев Сымбат Бакытбекович</t>
  </si>
  <si>
    <t>Адамбеков Канат Бертысович</t>
  </si>
  <si>
    <t>Даулетхан Женис</t>
  </si>
  <si>
    <t>Омар Диас Бекұлы</t>
  </si>
  <si>
    <t>1 комнатная квартира</t>
  </si>
  <si>
    <t>ЖК Compass North</t>
  </si>
  <si>
    <t xml:space="preserve"> Ш. Калдаякова  </t>
  </si>
  <si>
    <t>58/1</t>
  </si>
  <si>
    <t>Район Алматы Ш Калдаякова дом 58/1</t>
  </si>
  <si>
    <t>Құрманаева Сандуғаш Жұмағалиқызы</t>
  </si>
  <si>
    <t>Бекбаулиев Жандос Акбаршаевич</t>
  </si>
  <si>
    <t>Адильханова София Арманқызы</t>
  </si>
  <si>
    <t>Бескембирова Раушан Калайдарова</t>
  </si>
  <si>
    <t>Алдадосова Гүлдана Адилгерейқызы</t>
  </si>
  <si>
    <t>Султанов Ахмет Калдибекович</t>
  </si>
  <si>
    <t>ЖК Respublika</t>
  </si>
  <si>
    <t xml:space="preserve"> Е 36 </t>
  </si>
  <si>
    <t>Район Нура улица Е 36 дом 5</t>
  </si>
  <si>
    <t>Кульдеева Айтолкын Еламановна</t>
  </si>
  <si>
    <t>Зона 5</t>
  </si>
  <si>
    <t>Игембаев Самат Кайратович</t>
  </si>
  <si>
    <t xml:space="preserve"> Е 36</t>
  </si>
  <si>
    <t>Құрманғазы Диас Құрманғазыұлы</t>
  </si>
  <si>
    <t>Лаухнер Иосиф Иосифович</t>
  </si>
  <si>
    <t>Балгабеков Жанбота Бауржанович</t>
  </si>
  <si>
    <t>Ануарбек Нұрсұлтан Нуржанұлы</t>
  </si>
  <si>
    <t>Даутбаева Айгерим Файзуловна</t>
  </si>
  <si>
    <t>Ведяшкина Елена Анатольевна</t>
  </si>
  <si>
    <t>Сабыров Ардак Сакенович</t>
  </si>
  <si>
    <t>Заехал с 1Марта 2026 года</t>
  </si>
  <si>
    <t>Аубакирова Улпан Амирбеккызы</t>
  </si>
  <si>
    <t>Төлеген Аян Шыңғысбайұлы заехал с 13.07.2026 года удер.с ЗП 17 077,78 тенге НБ 11 459,76 тенге</t>
  </si>
  <si>
    <t>Бикенев Дулат Болатович</t>
  </si>
  <si>
    <t>Маратқызы Эльмира</t>
  </si>
  <si>
    <t>Исаханов Манар Кумарович</t>
  </si>
  <si>
    <t>Габдиев Артур Мухаддасович</t>
  </si>
  <si>
    <t>Сембина Асем Бериковна</t>
  </si>
  <si>
    <t>Оқшиева Замира Бердалықызы</t>
  </si>
  <si>
    <t>С 1 января 2026 года заехал</t>
  </si>
  <si>
    <t>Абаев Манарбек Акатович</t>
  </si>
  <si>
    <t>Қыдырбай Сұңғат Сағдатұлы</t>
  </si>
  <si>
    <t>Аламанова Ляйла Болатхановна</t>
  </si>
  <si>
    <t>Есембекова Айгерим Болатовна</t>
  </si>
  <si>
    <t>Жаркимбаев Нургиса Багалиевич</t>
  </si>
  <si>
    <t>Орынбаев Бекзат Талғатұлы</t>
  </si>
  <si>
    <t>Орынбаев Бекзат заехал в феврале в пустую квартиру</t>
  </si>
  <si>
    <t>Совостьянов Александ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</si>
</sst>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4" fontId="6" fillId="4" borderId="1" xfId="0" applyNumberFormat="1" applyFont="1" applyFill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4" fontId="5" fillId="4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vertical="center" wrapText="1"/>
    </xf>
    <xf numFmtId="4" fontId="5" fillId="6" borderId="1" xfId="0" applyNumberFormat="1" applyFont="1" applyFill="1" applyBorder="1" applyAlignment="1">
      <alignment vertical="center"/>
    </xf>
    <xf numFmtId="4" fontId="7" fillId="6" borderId="1" xfId="0" applyNumberFormat="1" applyFont="1" applyFill="1" applyBorder="1" applyAlignment="1">
      <alignment vertical="center"/>
    </xf>
    <xf numFmtId="2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2" fontId="5" fillId="6" borderId="1" xfId="0" applyNumberFormat="1" applyFont="1" applyFill="1" applyBorder="1" applyAlignment="1">
      <alignment vertical="center"/>
    </xf>
    <xf numFmtId="4" fontId="5" fillId="6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165" fontId="5" fillId="6" borderId="2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vertical="center" wrapText="1"/>
    </xf>
    <xf numFmtId="4" fontId="5" fillId="5" borderId="1" xfId="0" applyNumberFormat="1" applyFont="1" applyFill="1" applyBorder="1" applyAlignment="1">
      <alignment vertical="center"/>
    </xf>
    <xf numFmtId="4" fontId="7" fillId="5" borderId="1" xfId="0" applyNumberFormat="1" applyFont="1" applyFill="1" applyBorder="1" applyAlignment="1">
      <alignment vertical="center"/>
    </xf>
    <xf numFmtId="2" fontId="5" fillId="5" borderId="1" xfId="0" applyNumberFormat="1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2" fontId="5" fillId="5" borderId="1" xfId="0" applyNumberFormat="1" applyFont="1" applyFill="1" applyBorder="1" applyAlignment="1">
      <alignment vertical="center"/>
    </xf>
    <xf numFmtId="4" fontId="6" fillId="5" borderId="1" xfId="0" applyNumberFormat="1" applyFont="1" applyFill="1" applyBorder="1" applyAlignment="1">
      <alignment vertical="center"/>
    </xf>
    <xf numFmtId="4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9" fillId="5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4" fontId="6" fillId="6" borderId="1" xfId="0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5" fillId="4" borderId="1" xfId="0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4" fontId="5" fillId="6" borderId="4" xfId="0" applyNumberFormat="1" applyFont="1" applyFill="1" applyBorder="1" applyAlignment="1">
      <alignment vertical="center" wrapText="1"/>
    </xf>
    <xf numFmtId="4" fontId="5" fillId="6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vertical="center" wrapText="1"/>
    </xf>
    <xf numFmtId="4" fontId="5" fillId="7" borderId="1" xfId="0" applyNumberFormat="1" applyFont="1" applyFill="1" applyBorder="1" applyAlignment="1">
      <alignment vertical="center" wrapText="1"/>
    </xf>
    <xf numFmtId="4" fontId="5" fillId="7" borderId="1" xfId="0" applyNumberFormat="1" applyFont="1" applyFill="1" applyBorder="1" applyAlignment="1">
      <alignment vertical="center"/>
    </xf>
    <xf numFmtId="2" fontId="5" fillId="7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2" fontId="5" fillId="7" borderId="1" xfId="0" applyNumberFormat="1" applyFont="1" applyFill="1" applyBorder="1" applyAlignment="1">
      <alignment vertical="center"/>
    </xf>
    <xf numFmtId="4" fontId="6" fillId="7" borderId="1" xfId="0" applyNumberFormat="1" applyFont="1" applyFill="1" applyBorder="1" applyAlignment="1">
      <alignment vertical="center"/>
    </xf>
    <xf numFmtId="4" fontId="5" fillId="7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vertical="center" wrapText="1"/>
    </xf>
    <xf numFmtId="4" fontId="5" fillId="0" borderId="3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vertical="center" wrapText="1"/>
    </xf>
    <xf numFmtId="4" fontId="5" fillId="0" borderId="4" xfId="0" applyNumberFormat="1" applyFont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5" fillId="6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4" fontId="5" fillId="6" borderId="3" xfId="0" applyNumberFormat="1" applyFont="1" applyFill="1" applyBorder="1" applyAlignment="1">
      <alignment vertical="center" wrapText="1"/>
    </xf>
    <xf numFmtId="4" fontId="5" fillId="6" borderId="3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vertical="center" wrapText="1"/>
    </xf>
    <xf numFmtId="49" fontId="5" fillId="6" borderId="1" xfId="0" applyNumberFormat="1" applyFont="1" applyFill="1" applyBorder="1" applyAlignment="1">
      <alignment horizontal="righ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horizontal="right"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167" fontId="5" fillId="0" borderId="1" xfId="1" applyNumberFormat="1" applyFont="1" applyBorder="1" applyAlignment="1">
      <alignment vertical="top" wrapText="1"/>
    </xf>
    <xf numFmtId="4" fontId="5" fillId="0" borderId="1" xfId="0" applyNumberFormat="1" applyFont="1" applyBorder="1" applyAlignment="1">
      <alignment vertical="top" wrapText="1"/>
    </xf>
    <xf numFmtId="4" fontId="5" fillId="0" borderId="1" xfId="0" applyNumberFormat="1" applyFont="1" applyBorder="1" applyAlignment="1">
      <alignment vertical="top"/>
    </xf>
    <xf numFmtId="0" fontId="5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2" fontId="5" fillId="0" borderId="1" xfId="0" applyNumberFormat="1" applyFont="1" applyBorder="1" applyAlignment="1">
      <alignment vertical="top"/>
    </xf>
    <xf numFmtId="4" fontId="5" fillId="5" borderId="1" xfId="0" applyNumberFormat="1" applyFont="1" applyFill="1" applyBorder="1" applyAlignment="1">
      <alignment vertical="top"/>
    </xf>
    <xf numFmtId="4" fontId="5" fillId="6" borderId="1" xfId="0" applyNumberFormat="1" applyFont="1" applyFill="1" applyBorder="1" applyAlignment="1">
      <alignment vertical="top"/>
    </xf>
    <xf numFmtId="4" fontId="6" fillId="4" borderId="1" xfId="0" applyNumberFormat="1" applyFont="1" applyFill="1" applyBorder="1" applyAlignment="1">
      <alignment vertical="top"/>
    </xf>
    <xf numFmtId="4" fontId="5" fillId="4" borderId="1" xfId="0" applyNumberFormat="1" applyFont="1" applyFill="1" applyBorder="1" applyAlignment="1">
      <alignment vertical="top"/>
    </xf>
    <xf numFmtId="4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5" fillId="4" borderId="1" xfId="0" applyFont="1" applyFill="1" applyBorder="1" applyAlignment="1">
      <alignment horizontal="center" vertical="top" wrapText="1"/>
    </xf>
    <xf numFmtId="167" fontId="5" fillId="4" borderId="1" xfId="1" applyNumberFormat="1" applyFont="1" applyFill="1" applyBorder="1" applyAlignment="1">
      <alignment vertical="top" wrapText="1"/>
    </xf>
    <xf numFmtId="4" fontId="5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 wrapText="1"/>
    </xf>
    <xf numFmtId="167" fontId="5" fillId="8" borderId="1" xfId="1" applyNumberFormat="1" applyFont="1" applyFill="1" applyBorder="1" applyAlignment="1">
      <alignment vertical="top" wrapText="1"/>
    </xf>
    <xf numFmtId="4" fontId="5" fillId="8" borderId="1" xfId="0" applyNumberFormat="1" applyFont="1" applyFill="1" applyBorder="1" applyAlignment="1">
      <alignment vertical="top" wrapText="1"/>
    </xf>
    <xf numFmtId="4" fontId="5" fillId="8" borderId="1" xfId="0" applyNumberFormat="1" applyFont="1" applyFill="1" applyBorder="1" applyAlignment="1">
      <alignment vertical="top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/>
    </xf>
    <xf numFmtId="2" fontId="5" fillId="8" borderId="1" xfId="0" applyNumberFormat="1" applyFont="1" applyFill="1" applyBorder="1" applyAlignment="1">
      <alignment vertical="top"/>
    </xf>
    <xf numFmtId="4" fontId="6" fillId="8" borderId="1" xfId="0" applyNumberFormat="1" applyFont="1" applyFill="1" applyBorder="1" applyAlignment="1">
      <alignment vertical="top"/>
    </xf>
    <xf numFmtId="4" fontId="5" fillId="8" borderId="0" xfId="0" applyNumberFormat="1" applyFont="1" applyFill="1" applyAlignment="1">
      <alignment vertical="top"/>
    </xf>
    <xf numFmtId="0" fontId="5" fillId="8" borderId="0" xfId="0" applyFont="1" applyFill="1" applyAlignment="1">
      <alignment vertical="top" wrapText="1"/>
    </xf>
    <xf numFmtId="0" fontId="0" fillId="8" borderId="0" xfId="0" applyFill="1"/>
    <xf numFmtId="164" fontId="5" fillId="0" borderId="1" xfId="0" applyNumberFormat="1" applyFont="1" applyBorder="1" applyAlignment="1">
      <alignment horizontal="center" vertical="top" wrapText="1"/>
    </xf>
    <xf numFmtId="0" fontId="5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167" fontId="5" fillId="9" borderId="1" xfId="1" applyNumberFormat="1" applyFont="1" applyFill="1" applyBorder="1" applyAlignment="1">
      <alignment vertical="top" wrapText="1"/>
    </xf>
    <xf numFmtId="4" fontId="5" fillId="9" borderId="1" xfId="0" applyNumberFormat="1" applyFont="1" applyFill="1" applyBorder="1" applyAlignment="1">
      <alignment vertical="top" wrapText="1"/>
    </xf>
    <xf numFmtId="4" fontId="5" fillId="9" borderId="1" xfId="0" applyNumberFormat="1" applyFont="1" applyFill="1" applyBorder="1" applyAlignment="1">
      <alignment vertical="top"/>
    </xf>
    <xf numFmtId="0" fontId="5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vertical="top"/>
    </xf>
    <xf numFmtId="2" fontId="5" fillId="9" borderId="1" xfId="0" applyNumberFormat="1" applyFont="1" applyFill="1" applyBorder="1" applyAlignment="1">
      <alignment vertical="top"/>
    </xf>
    <xf numFmtId="4" fontId="6" fillId="9" borderId="1" xfId="0" applyNumberFormat="1" applyFont="1" applyFill="1" applyBorder="1" applyAlignment="1">
      <alignment vertical="top"/>
    </xf>
    <xf numFmtId="4" fontId="5" fillId="9" borderId="0" xfId="0" applyNumberFormat="1" applyFont="1" applyFill="1" applyAlignment="1">
      <alignment vertical="top"/>
    </xf>
    <xf numFmtId="0" fontId="5" fillId="9" borderId="0" xfId="0" applyFont="1" applyFill="1" applyAlignment="1">
      <alignment vertical="top"/>
    </xf>
    <xf numFmtId="0" fontId="0" fillId="9" borderId="0" xfId="0" applyFill="1"/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167" fontId="5" fillId="6" borderId="1" xfId="1" applyNumberFormat="1" applyFont="1" applyFill="1" applyBorder="1" applyAlignment="1">
      <alignment vertical="top" wrapText="1"/>
    </xf>
    <xf numFmtId="4" fontId="5" fillId="6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/>
    </xf>
    <xf numFmtId="2" fontId="5" fillId="6" borderId="1" xfId="0" applyNumberFormat="1" applyFont="1" applyFill="1" applyBorder="1" applyAlignment="1">
      <alignment vertical="top"/>
    </xf>
    <xf numFmtId="4" fontId="6" fillId="6" borderId="1" xfId="0" applyNumberFormat="1" applyFont="1" applyFill="1" applyBorder="1" applyAlignment="1">
      <alignment vertical="top"/>
    </xf>
    <xf numFmtId="4" fontId="5" fillId="6" borderId="0" xfId="0" applyNumberFormat="1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5" fillId="0" borderId="4" xfId="0" applyFont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5" fillId="10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167" fontId="5" fillId="0" borderId="4" xfId="1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2" fontId="5" fillId="0" borderId="4" xfId="0" applyNumberFormat="1" applyFont="1" applyBorder="1" applyAlignment="1">
      <alignment vertical="top"/>
    </xf>
    <xf numFmtId="4" fontId="5" fillId="4" borderId="4" xfId="0" applyNumberFormat="1" applyFont="1" applyFill="1" applyBorder="1" applyAlignment="1">
      <alignment vertical="top"/>
    </xf>
    <xf numFmtId="4" fontId="0" fillId="0" borderId="0" xfId="0" applyNumberFormat="1"/>
    <xf numFmtId="4" fontId="5" fillId="4" borderId="5" xfId="0" applyNumberFormat="1" applyFont="1" applyFill="1" applyBorder="1" applyAlignment="1">
      <alignment vertical="top"/>
    </xf>
    <xf numFmtId="4" fontId="2" fillId="0" borderId="0" xfId="0" applyNumberFormat="1" applyFont="1"/>
    <xf numFmtId="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-302-1\Users\1\Downloads\Users\1\Downloads\&#1058;&#1077;&#1083;&#1077;&#1082;&#1072;&#1085;&#1072;&#1083;%202012\&#1041;&#1102;&#1076;&#1078;&#1077;&#1090;%202013\&#1056;&#1089;&#1096;%20&#1041;%20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WS10089635\Users\&#1042;&#1083;&#1072;&#1076;&#1077;&#1083;&#1077;&#1094;\Documents\&#1090;&#1077;&#1072;&#1090;&#1088;\&#1048;&#1089;&#1087;&#1086;&#1083;&#1085;&#1077;&#1085;&#1080;&#1077;%202015\&#1047;&#1055;%202015\&#1047;&#1055;%202015%20&#1048;&#1089;&#1087;&#1086;&#1083;&#1085;&#1077;&#1085;&#1080;&#1077;\&#1064;&#1056;%202015_&#1048;&#1089;&#1087;&#1086;&#1083;&#1085;&#1077;&#1085;&#1080;&#1077;%2020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WS10089635\Users\&#1042;&#1083;&#1072;&#1076;&#1077;&#1083;&#1077;&#1094;\Documents\&#1090;&#1077;&#1072;&#1090;&#1088;\&#1047;&#1055;%202016\&#1064;&#1056;%20&#1080;&#1089;&#1087;&#1086;&#1083;&#1085;&#1077;&#1085;&#1080;&#1077;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WS22018ZND\documenty\Users\Lenovo\Documents\&#1090;&#1077;&#1072;&#1090;&#1088;\&#1047;&#1055;%202017\&#1064;&#1056;%20&#1048;&#1089;&#1087;&#1086;&#1083;&#1085;&#1077;&#1085;&#1080;&#1077;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-302-1\Users\1\Downloads\Users\04\Downloads\&#1056;&#1089;&#1096;%20&#1041;%20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-302-1\Users\1\Downloads\Users\1\Downloads\&#1052;&#1086;&#1081;%20&#1090;&#1077;&#1072;&#1090;&#1088;\&#1073;&#1102;&#1076;&#1078;&#1077;&#1090;%20&#1082;&#1086;&#1088;.%202013\&#1056;&#1089;&#1096;%20&#1041;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ощадь Желтоксан 49"/>
      <sheetName val="Исход"/>
      <sheetName val="Сетка РДВ"/>
      <sheetName val="Сетка ТВ"/>
      <sheetName val="ЗП_Штат_ДВОУ к выдаче"/>
      <sheetName val="ЗП_Штат_ДВОУ_Начисл"/>
      <sheetName val="Лицензионная"/>
      <sheetName val="Авторс Прогр"/>
      <sheetName val="Казтелерадио"/>
      <sheetName val="АР_Усл банк"/>
      <sheetName val="Рды по охране"/>
      <sheetName val="АР_КонсУс"/>
      <sheetName val="Антивирус"/>
      <sheetName val="Страховка"/>
      <sheetName val="Сырье и мат ТВ РДВ"/>
      <sheetName val="Продакшн"/>
      <sheetName val="КАО_штрафы_Ретран"/>
      <sheetName val="Повыш Квалиф"/>
      <sheetName val="ПредставР"/>
      <sheetName val="Празд мер-тия"/>
      <sheetName val="ИнформУслуги"/>
      <sheetName val="Расх рекламу ТВ_РДВ"/>
      <sheetName val="ИмиджР"/>
      <sheetName val="Спутник_ВОЛС"/>
      <sheetName val="Аренда"/>
      <sheetName val="Коммунальные"/>
      <sheetName val="Обсл Тран Ср"/>
      <sheetName val="ГСМ"/>
      <sheetName val="Ремонт"/>
      <sheetName val="Сырье"/>
      <sheetName val="Налоги"/>
      <sheetName val=" ПочтовыеУ"/>
      <sheetName val="КомандР"/>
      <sheetName val="Командировочные"/>
      <sheetName val="УслСвязи"/>
      <sheetName val="Связь_Астана"/>
      <sheetName val="Связь_Алматы"/>
      <sheetName val="Связь_регионы"/>
      <sheetName val="Интернет_Астана"/>
      <sheetName val="Мобильная-АУП"/>
      <sheetName val="Мобильная"/>
      <sheetName val="Сайт"/>
      <sheetName val="Прочие осн Р"/>
      <sheetName val="Р финансирование"/>
      <sheetName val="Дисконтирование"/>
      <sheetName val="ставки НБ"/>
      <sheetName val="Амортизация 2013 Бюджет"/>
      <sheetName val="Амортизация"/>
      <sheetName val="Пристройка"/>
      <sheetName val="Доходы"/>
      <sheetName val="Прочие доходы"/>
      <sheetName val="Основные средства"/>
    </sheetNames>
    <sheetDataSet>
      <sheetData sheetId="0" refreshError="1"/>
      <sheetData sheetId="1" refreshError="1">
        <row r="11">
          <cell r="B11">
            <v>150</v>
          </cell>
        </row>
        <row r="12">
          <cell r="B12">
            <v>249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.дан."/>
      <sheetName val="Медицинская страховка"/>
      <sheetName val="Страхование ГПО"/>
      <sheetName val="Квартиры"/>
      <sheetName val="ЗП финансир БЮД"/>
      <sheetName val="ЗП финансир СД"/>
      <sheetName val="СО и СН"/>
      <sheetName val="План расшиф"/>
      <sheetName val="ЗП СВОД"/>
      <sheetName val="ЗП-к начислению"/>
      <sheetName val="Свод ИТОГО"/>
      <sheetName val="Счета ПроизвУчета"/>
      <sheetName val="ЗП-БФ к нач"/>
      <sheetName val="ЗП-СД к нач"/>
      <sheetName val="СоцСфера"/>
      <sheetName val="Резерв по отпускам"/>
      <sheetName val="Особые условия по договору"/>
      <sheetName val="ЗП-выплата"/>
      <sheetName val="база"/>
      <sheetName val="ЗП"/>
      <sheetName val="Совет Директоров"/>
      <sheetName val="Факт выплата"/>
      <sheetName val="Отпускные"/>
    </sheetNames>
    <sheetDataSet>
      <sheetData sheetId="0">
        <row r="2">
          <cell r="B2">
            <v>1982</v>
          </cell>
        </row>
        <row r="3">
          <cell r="B3">
            <v>21364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73">
          <cell r="C473" t="str">
            <v>Вид</v>
          </cell>
        </row>
      </sheetData>
      <sheetData sheetId="7" refreshError="1"/>
      <sheetData sheetId="8" refreshError="1"/>
      <sheetData sheetId="9" refreshError="1"/>
      <sheetData sheetId="10">
        <row r="7">
          <cell r="D7">
            <v>170719.40119999999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>
        <row r="100">
          <cell r="C100" t="str">
            <v>Вид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.дан."/>
      <sheetName val="План Оклады"/>
      <sheetName val="План СД"/>
      <sheetName val="План РБ"/>
      <sheetName val="ЗП финансир БЮД"/>
      <sheetName val="ЗП финансир СД"/>
      <sheetName val="ЗП СВОД"/>
      <sheetName val="СО и СН"/>
      <sheetName val="Резерв по отпускам"/>
      <sheetName val="ЗП-к начислению"/>
      <sheetName val="Свод ИТОГО"/>
      <sheetName val="ЗП-БФ к нач"/>
      <sheetName val="ЗП-СД к нач"/>
      <sheetName val="ЗП-выплата"/>
      <sheetName val="ГПО работадателя"/>
      <sheetName val="Расчет ГПО"/>
      <sheetName val="ПЗ ГПО раб-ля"/>
      <sheetName val="План расшиф"/>
      <sheetName val="база"/>
      <sheetName val="Квартиры"/>
      <sheetName val="Совет Директоров"/>
      <sheetName val="Отпускные"/>
      <sheetName val="Больничные"/>
    </sheetNames>
    <sheetDataSet>
      <sheetData sheetId="0">
        <row r="3">
          <cell r="B3">
            <v>22859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П-Соц.н-Соц.о ОППВ"/>
      <sheetName val="ECCO Персонал"/>
      <sheetName val="Совет Директоров"/>
      <sheetName val="Исх.дан."/>
      <sheetName val="План Оклады"/>
      <sheetName val="План СД"/>
      <sheetName val="ЗП финансир БЮД"/>
      <sheetName val="ЗП финансир СД"/>
      <sheetName val="ЗП СВОД"/>
      <sheetName val="СВОД Резерв СН СО"/>
      <sheetName val="Резерв СН СО"/>
      <sheetName val="ЗП-к начислению"/>
      <sheetName val="Свод ИТОГО"/>
      <sheetName val="ЗП-БФ к нач"/>
      <sheetName val="ЗП-СД к нач"/>
      <sheetName val="ЗП-выплата"/>
      <sheetName val="ГПО работодателя"/>
      <sheetName val="Расчет ГПО"/>
      <sheetName val="ПЗ ГПО раб-ля"/>
      <sheetName val="ПЗ ГПО раб-ля с делением"/>
      <sheetName val="План расшиф"/>
      <sheetName val="база"/>
      <sheetName val="Квартиры"/>
    </sheetNames>
    <sheetDataSet>
      <sheetData sheetId="0"/>
      <sheetData sheetId="1"/>
      <sheetData sheetId="2"/>
      <sheetData sheetId="3">
        <row r="3">
          <cell r="B3">
            <v>24459</v>
          </cell>
        </row>
        <row r="9">
          <cell r="B9">
            <v>0.01</v>
          </cell>
        </row>
      </sheetData>
      <sheetData sheetId="4"/>
      <sheetData sheetId="5">
        <row r="509">
          <cell r="C509">
            <v>3678100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ощадь Желтоксан 49"/>
      <sheetName val="Исход"/>
      <sheetName val="Сетка РДВ"/>
      <sheetName val="Сетка ТВ"/>
      <sheetName val="ЗП_Штат_ДВОУ к выдаче"/>
      <sheetName val="ЗП_Штат_ДВОУ_Начисл"/>
      <sheetName val="Лицензионная"/>
      <sheetName val="Авторс Прогр"/>
      <sheetName val="Казтелерадио"/>
      <sheetName val="АР_Усл банк"/>
      <sheetName val="Рды по охране"/>
      <sheetName val="АР_КонсУс"/>
      <sheetName val="Антивирус"/>
      <sheetName val="Страховка"/>
      <sheetName val="Сырье и мат ТВ РДВ"/>
      <sheetName val="Продакшн"/>
      <sheetName val="КАО_штрафы_Ретран"/>
      <sheetName val="Повыш Квалиф"/>
      <sheetName val="ПредставР"/>
      <sheetName val="Празд мер-тия"/>
      <sheetName val="ИнформУслуги"/>
      <sheetName val="Расх рекламу ТВ_РДВ"/>
      <sheetName val="ИмиджР"/>
      <sheetName val="Спутник_ВОЛС"/>
      <sheetName val="Аренда"/>
      <sheetName val="Коммунальные"/>
      <sheetName val="Обсл Тран Ср"/>
      <sheetName val="ГСМ"/>
      <sheetName val="Ремонт"/>
      <sheetName val="Сырье"/>
      <sheetName val="Налоги"/>
      <sheetName val=" ПочтовыеУ"/>
      <sheetName val="КомандР"/>
      <sheetName val="Командировочные"/>
      <sheetName val="УслСвязи"/>
      <sheetName val="Связь_Астана"/>
      <sheetName val="Связь_Алматы"/>
      <sheetName val="Связь_регионы"/>
      <sheetName val="Интернет_Астана"/>
      <sheetName val="Мобильная-АУП"/>
      <sheetName val="Мобильная"/>
      <sheetName val="Сайт"/>
      <sheetName val="Прочие осн Р"/>
      <sheetName val="Р финансирование"/>
      <sheetName val="Дисконтирование"/>
      <sheetName val="ставки НБ"/>
      <sheetName val="Амортизация 2013 Бюджет"/>
      <sheetName val="Амортизация"/>
      <sheetName val="Пристройка"/>
      <sheetName val="Доходы"/>
      <sheetName val="Прочие доходы"/>
      <sheetName val="Основные средства"/>
    </sheetNames>
    <sheetDataSet>
      <sheetData sheetId="0" refreshError="1"/>
      <sheetData sheetId="1" refreshError="1">
        <row r="2">
          <cell r="B2">
            <v>1731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ощадь Желтоксан 49"/>
      <sheetName val="Исход"/>
      <sheetName val="Сетка РДВ"/>
      <sheetName val="Сетка ТВ"/>
      <sheetName val="ЗП_Штат_ДВОУ к выдаче"/>
      <sheetName val="ЗП_Штат_ДВОУ_Начисл"/>
      <sheetName val="Лицензионная"/>
      <sheetName val="Авторс Прогр"/>
      <sheetName val="Казтелерадио"/>
      <sheetName val="АР_Усл банк"/>
      <sheetName val="Рды по охране"/>
      <sheetName val="АР_КонсУс"/>
      <sheetName val="Антивирус"/>
      <sheetName val="Страховка"/>
      <sheetName val="Сырье и мат ТВ РДВ"/>
      <sheetName val="Продакшн"/>
      <sheetName val="КАО_штрафы_Ретран"/>
      <sheetName val="Повыш Квалиф"/>
      <sheetName val="ПредставР"/>
      <sheetName val="Празд мер-тия"/>
      <sheetName val="ИнформУслуги"/>
      <sheetName val="Расх рекламу ТВ_РДВ"/>
      <sheetName val="ИмиджР"/>
      <sheetName val="Спутник_ВОЛС"/>
      <sheetName val="Аренда"/>
      <sheetName val="Коммунальные"/>
      <sheetName val="Обсл Тран Ср"/>
      <sheetName val="ГСМ"/>
      <sheetName val="Ремонт"/>
      <sheetName val="Сырье"/>
      <sheetName val="Налоги"/>
      <sheetName val=" ПочтовыеУ"/>
      <sheetName val="КомандР"/>
      <sheetName val="Командировочные"/>
      <sheetName val="УслСвязи"/>
      <sheetName val="Связь_Астана"/>
      <sheetName val="Связь_Алматы"/>
      <sheetName val="Связь_регионы"/>
      <sheetName val="Интернет_Астана"/>
      <sheetName val="Мобильная-АУП"/>
      <sheetName val="Мобильная"/>
      <sheetName val="Сайт"/>
      <sheetName val="Прочие осн Р"/>
      <sheetName val="Р финансирование"/>
      <sheetName val="Дисконтирование"/>
      <sheetName val="ставки НБ"/>
      <sheetName val="Амортизация 2013 Бюджет"/>
      <sheetName val="Амортизация"/>
      <sheetName val="Пристройка"/>
      <sheetName val="Доходы"/>
      <sheetName val="Прочие доходы"/>
      <sheetName val="Основные средства"/>
    </sheetNames>
    <sheetDataSet>
      <sheetData sheetId="0" refreshError="1"/>
      <sheetData sheetId="1" refreshError="1">
        <row r="3">
          <cell r="B3">
            <v>1.1200000000000001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8FD1-4B83-4781-AAA4-1939CAB33D8A}">
  <dimension ref="A1:BD1048576"/>
  <sheetViews>
    <sheetView tabSelected="1" topLeftCell="AN1" workbookViewId="0">
      <pane xSplit="10" ySplit="4" topLeftCell="AX168" activePane="bottomRight" state="frozen"/>
      <selection activeCell="AN1" sqref="AN1"/>
      <selection pane="topRight" activeCell="AX1" sqref="AX1"/>
      <selection pane="bottomLeft" activeCell="AN5" sqref="AN5"/>
      <selection pane="bottomRight" activeCell="AV1" sqref="AV1:AV1048576"/>
    </sheetView>
  </sheetViews>
  <sheetFormatPr defaultRowHeight="15" x14ac:dyDescent="0.25"/>
  <cols>
    <col min="8" max="8" width="20.85546875" customWidth="1"/>
    <col min="10" max="10" width="16.140625" customWidth="1"/>
    <col min="11" max="11" width="11.42578125" customWidth="1"/>
    <col min="12" max="13" width="16.140625" customWidth="1"/>
    <col min="21" max="21" width="26.7109375" customWidth="1"/>
    <col min="32" max="44" width="16.140625" customWidth="1"/>
    <col min="48" max="48" width="15.140625" customWidth="1"/>
    <col min="50" max="50" width="12.85546875" customWidth="1"/>
    <col min="52" max="52" width="11.42578125" customWidth="1"/>
    <col min="53" max="53" width="18.85546875" customWidth="1"/>
  </cols>
  <sheetData>
    <row r="1" spans="1:56" ht="157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4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5" t="s">
        <v>47</v>
      </c>
      <c r="AW1" s="5" t="s">
        <v>48</v>
      </c>
      <c r="AX1" s="1" t="s">
        <v>49</v>
      </c>
      <c r="AY1" s="1" t="s">
        <v>50</v>
      </c>
      <c r="AZ1" s="6"/>
      <c r="BA1" s="6"/>
      <c r="BB1" s="6"/>
      <c r="BC1" s="6"/>
      <c r="BD1" s="6"/>
    </row>
    <row r="2" spans="1:56" s="21" customFormat="1" ht="36" x14ac:dyDescent="0.25">
      <c r="A2" s="7"/>
      <c r="B2" s="7">
        <v>1</v>
      </c>
      <c r="C2" s="7" t="s">
        <v>51</v>
      </c>
      <c r="D2" s="7" t="s">
        <v>52</v>
      </c>
      <c r="E2" s="7" t="s">
        <v>53</v>
      </c>
      <c r="F2" s="8" t="s">
        <v>54</v>
      </c>
      <c r="G2" s="7">
        <v>1</v>
      </c>
      <c r="H2" s="9" t="str">
        <f t="shared" ref="H2:H53" si="0">CONCATENATE("Жилой комплекс ",D2,","," ",E2," ",F2," ","-"," ",G2)</f>
        <v>Жилой комплекс Зерде, Кудайбердыулы 4 - 1</v>
      </c>
      <c r="I2" s="10">
        <v>1</v>
      </c>
      <c r="J2" s="11">
        <v>17719586</v>
      </c>
      <c r="K2" s="11"/>
      <c r="L2" s="12">
        <v>14730484.400000008</v>
      </c>
      <c r="M2" s="12">
        <f t="shared" ref="M2:M32" si="1">L2</f>
        <v>14730484.400000008</v>
      </c>
      <c r="N2" s="10">
        <v>2</v>
      </c>
      <c r="O2" s="10">
        <v>62.6</v>
      </c>
      <c r="P2" s="10">
        <v>35.1</v>
      </c>
      <c r="Q2" s="10"/>
      <c r="R2" s="10"/>
      <c r="S2" s="10"/>
      <c r="T2" s="10"/>
      <c r="U2" s="13" t="s">
        <v>55</v>
      </c>
      <c r="V2" s="14" t="s">
        <v>56</v>
      </c>
      <c r="W2" s="7"/>
      <c r="X2" s="15"/>
      <c r="Y2" s="15"/>
      <c r="Z2" s="15">
        <v>19.3</v>
      </c>
      <c r="AA2" s="15" t="s">
        <v>57</v>
      </c>
      <c r="AB2" s="15">
        <f t="shared" ref="AB2:AB65" si="2">IF(AA2="Зона 1", 1.5,IF(AA2="Зона 2",1.4,IF(AA2="Зона 3",1.2,IF(AA2="Зона 4",1,IF(AA2="Зона 5",0.7,IF(AA2="Зона 6",0.5,"Укажи зону"))))))</f>
        <v>1.5</v>
      </c>
      <c r="AC2" s="16">
        <f t="shared" ref="AC2:AC65" si="3">Z2*AB2</f>
        <v>28.950000000000003</v>
      </c>
      <c r="AD2" s="12">
        <f t="shared" ref="AD2:AD65" si="4">IF(V2="Нет",ROUND(AC2*O2,2),ROUND(AC2*T2,2))</f>
        <v>1812.27</v>
      </c>
      <c r="AE2" s="12">
        <v>14849.28</v>
      </c>
      <c r="AF2" s="12">
        <f t="shared" ref="AF2:AF65" si="5">M2</f>
        <v>14730484.400000008</v>
      </c>
      <c r="AG2" s="12">
        <f t="shared" ref="AG2:AG65" si="6">AF2-AE2</f>
        <v>14715635.120000008</v>
      </c>
      <c r="AH2" s="12">
        <f t="shared" ref="AH2:AH65" si="7">AG2-AE2</f>
        <v>14700785.840000009</v>
      </c>
      <c r="AI2" s="12">
        <f t="shared" ref="AI2:AI65" si="8">AH2-AE2</f>
        <v>14685936.56000001</v>
      </c>
      <c r="AJ2" s="12">
        <f t="shared" ref="AJ2:AJ65" si="9">AI2-AE2</f>
        <v>14671087.280000011</v>
      </c>
      <c r="AK2" s="12">
        <f>AJ2-$AE2</f>
        <v>14656238.000000011</v>
      </c>
      <c r="AL2" s="12">
        <f t="shared" ref="AL2:AR2" si="10">AK2-$AE2</f>
        <v>14641388.720000012</v>
      </c>
      <c r="AM2" s="12">
        <f t="shared" si="10"/>
        <v>14626539.440000013</v>
      </c>
      <c r="AN2" s="12">
        <f t="shared" si="10"/>
        <v>14611690.160000013</v>
      </c>
      <c r="AO2" s="12">
        <f t="shared" si="10"/>
        <v>14596840.880000014</v>
      </c>
      <c r="AP2" s="12">
        <f t="shared" si="10"/>
        <v>14581991.600000015</v>
      </c>
      <c r="AQ2" s="12">
        <f t="shared" si="10"/>
        <v>14567142.320000015</v>
      </c>
      <c r="AR2" s="17">
        <f t="shared" si="10"/>
        <v>14552293.040000016</v>
      </c>
      <c r="AS2" s="12">
        <f>ROUND(SUM(AF2:AR2)/13*1.5%,2)</f>
        <v>219620.83</v>
      </c>
      <c r="AT2" s="12">
        <f t="shared" ref="AT2:AT65" si="11">AS2+AD2</f>
        <v>221433.09999999998</v>
      </c>
      <c r="AU2" s="12">
        <f t="shared" ref="AU2:AU65" si="12">AE2</f>
        <v>14849.28</v>
      </c>
      <c r="AV2" s="18">
        <f t="shared" ref="AV2:AV32" si="13">ROUND((AT2)/12,2)</f>
        <v>18452.759999999998</v>
      </c>
      <c r="AW2" s="17">
        <f t="shared" ref="AW2:AW65" si="14">AU2</f>
        <v>14849.28</v>
      </c>
      <c r="AX2" s="12"/>
      <c r="AY2" s="12"/>
      <c r="AZ2" s="19"/>
      <c r="BA2" s="20"/>
      <c r="BB2" s="20"/>
      <c r="BC2" s="20">
        <f>AS2/12</f>
        <v>18301.735833333332</v>
      </c>
      <c r="BD2" s="20"/>
    </row>
    <row r="3" spans="1:56" s="21" customFormat="1" ht="36" x14ac:dyDescent="0.25">
      <c r="A3" s="7"/>
      <c r="B3" s="7">
        <v>2</v>
      </c>
      <c r="C3" s="7" t="s">
        <v>58</v>
      </c>
      <c r="D3" s="7" t="s">
        <v>52</v>
      </c>
      <c r="E3" s="7" t="s">
        <v>53</v>
      </c>
      <c r="F3" s="8" t="s">
        <v>54</v>
      </c>
      <c r="G3" s="7">
        <v>45</v>
      </c>
      <c r="H3" s="9" t="str">
        <f t="shared" si="0"/>
        <v>Жилой комплекс Зерде, Кудайбердыулы 4 - 45</v>
      </c>
      <c r="I3" s="10">
        <v>1</v>
      </c>
      <c r="J3" s="11">
        <v>20573561</v>
      </c>
      <c r="K3" s="11"/>
      <c r="L3" s="12">
        <v>17103024.790000036</v>
      </c>
      <c r="M3" s="12">
        <f t="shared" si="1"/>
        <v>17103024.790000036</v>
      </c>
      <c r="N3" s="10">
        <v>3</v>
      </c>
      <c r="O3" s="10">
        <v>72.900000000000006</v>
      </c>
      <c r="P3" s="10">
        <v>45.8</v>
      </c>
      <c r="Q3" s="10"/>
      <c r="R3" s="10"/>
      <c r="S3" s="10"/>
      <c r="T3" s="10"/>
      <c r="U3" s="13" t="s">
        <v>59</v>
      </c>
      <c r="V3" s="14" t="s">
        <v>56</v>
      </c>
      <c r="W3" s="7"/>
      <c r="X3" s="15"/>
      <c r="Y3" s="15"/>
      <c r="Z3" s="15">
        <v>19.3</v>
      </c>
      <c r="AA3" s="15" t="s">
        <v>57</v>
      </c>
      <c r="AB3" s="15">
        <f t="shared" si="2"/>
        <v>1.5</v>
      </c>
      <c r="AC3" s="16">
        <f t="shared" si="3"/>
        <v>28.950000000000003</v>
      </c>
      <c r="AD3" s="12">
        <f t="shared" si="4"/>
        <v>2110.46</v>
      </c>
      <c r="AE3" s="12">
        <v>17240.95</v>
      </c>
      <c r="AF3" s="12">
        <f t="shared" si="5"/>
        <v>17103024.790000036</v>
      </c>
      <c r="AG3" s="12">
        <f t="shared" si="6"/>
        <v>17085783.840000037</v>
      </c>
      <c r="AH3" s="12">
        <f t="shared" si="7"/>
        <v>17068542.890000038</v>
      </c>
      <c r="AI3" s="12">
        <f t="shared" si="8"/>
        <v>17051301.940000039</v>
      </c>
      <c r="AJ3" s="12">
        <f t="shared" si="9"/>
        <v>17034060.990000039</v>
      </c>
      <c r="AK3" s="12">
        <f t="shared" ref="AK3:AR18" si="15">AJ3-$AE3</f>
        <v>17016820.04000004</v>
      </c>
      <c r="AL3" s="12">
        <f t="shared" si="15"/>
        <v>16999579.090000041</v>
      </c>
      <c r="AM3" s="12">
        <f t="shared" si="15"/>
        <v>16982338.140000042</v>
      </c>
      <c r="AN3" s="12">
        <f t="shared" si="15"/>
        <v>16965097.190000042</v>
      </c>
      <c r="AO3" s="12">
        <f t="shared" si="15"/>
        <v>16947856.240000043</v>
      </c>
      <c r="AP3" s="12">
        <f t="shared" si="15"/>
        <v>16930615.290000044</v>
      </c>
      <c r="AQ3" s="12">
        <f t="shared" si="15"/>
        <v>16913374.340000045</v>
      </c>
      <c r="AR3" s="17">
        <f t="shared" si="15"/>
        <v>16896133.390000045</v>
      </c>
      <c r="AS3" s="12">
        <f t="shared" ref="AS3:AS66" si="16">ROUND(SUM(AF3:AR3)/13*1.5%,2)</f>
        <v>254993.69</v>
      </c>
      <c r="AT3" s="12">
        <f t="shared" si="11"/>
        <v>257104.15</v>
      </c>
      <c r="AU3" s="12">
        <f t="shared" si="12"/>
        <v>17240.95</v>
      </c>
      <c r="AV3" s="18">
        <f t="shared" si="13"/>
        <v>21425.35</v>
      </c>
      <c r="AW3" s="17">
        <f t="shared" si="14"/>
        <v>17240.95</v>
      </c>
      <c r="AX3" s="12"/>
      <c r="AY3" s="12"/>
      <c r="AZ3" s="19"/>
      <c r="BA3" s="20"/>
      <c r="BB3" s="20"/>
      <c r="BC3" s="20"/>
      <c r="BD3" s="20"/>
    </row>
    <row r="4" spans="1:56" s="21" customFormat="1" ht="36" x14ac:dyDescent="0.25">
      <c r="A4" s="7"/>
      <c r="B4" s="7">
        <v>3</v>
      </c>
      <c r="C4" s="7" t="s">
        <v>51</v>
      </c>
      <c r="D4" s="7" t="s">
        <v>52</v>
      </c>
      <c r="E4" s="7" t="s">
        <v>53</v>
      </c>
      <c r="F4" s="8" t="s">
        <v>54</v>
      </c>
      <c r="G4" s="7">
        <v>83</v>
      </c>
      <c r="H4" s="9" t="str">
        <f t="shared" si="0"/>
        <v>Жилой комплекс Зерде, Кудайбердыулы 4 - 83</v>
      </c>
      <c r="I4" s="10">
        <v>1</v>
      </c>
      <c r="J4" s="11">
        <v>17414792</v>
      </c>
      <c r="K4" s="11"/>
      <c r="L4" s="12">
        <v>14477105.690000029</v>
      </c>
      <c r="M4" s="12">
        <f t="shared" si="1"/>
        <v>14477105.690000029</v>
      </c>
      <c r="N4" s="10">
        <v>2</v>
      </c>
      <c r="O4" s="10">
        <v>61.5</v>
      </c>
      <c r="P4" s="10">
        <v>35.5</v>
      </c>
      <c r="Q4" s="10"/>
      <c r="R4" s="10"/>
      <c r="S4" s="10"/>
      <c r="T4" s="10"/>
      <c r="U4" s="13" t="s">
        <v>60</v>
      </c>
      <c r="V4" s="14" t="s">
        <v>56</v>
      </c>
      <c r="W4" s="7"/>
      <c r="X4" s="15"/>
      <c r="Y4" s="15"/>
      <c r="Z4" s="15">
        <v>19.3</v>
      </c>
      <c r="AA4" s="15" t="s">
        <v>57</v>
      </c>
      <c r="AB4" s="15">
        <f t="shared" si="2"/>
        <v>1.5</v>
      </c>
      <c r="AC4" s="16">
        <f t="shared" si="3"/>
        <v>28.950000000000003</v>
      </c>
      <c r="AD4" s="12">
        <f t="shared" si="4"/>
        <v>1780.43</v>
      </c>
      <c r="AE4" s="12">
        <v>14593.86</v>
      </c>
      <c r="AF4" s="12">
        <f t="shared" si="5"/>
        <v>14477105.690000029</v>
      </c>
      <c r="AG4" s="12">
        <f t="shared" si="6"/>
        <v>14462511.83000003</v>
      </c>
      <c r="AH4" s="12">
        <f t="shared" si="7"/>
        <v>14447917.97000003</v>
      </c>
      <c r="AI4" s="12">
        <f t="shared" si="8"/>
        <v>14433324.110000031</v>
      </c>
      <c r="AJ4" s="12">
        <f t="shared" si="9"/>
        <v>14418730.250000032</v>
      </c>
      <c r="AK4" s="12">
        <f t="shared" si="15"/>
        <v>14404136.390000032</v>
      </c>
      <c r="AL4" s="12">
        <f t="shared" si="15"/>
        <v>14389542.530000033</v>
      </c>
      <c r="AM4" s="12">
        <f t="shared" si="15"/>
        <v>14374948.670000033</v>
      </c>
      <c r="AN4" s="12">
        <f t="shared" si="15"/>
        <v>14360354.810000034</v>
      </c>
      <c r="AO4" s="12">
        <f t="shared" si="15"/>
        <v>14345760.950000035</v>
      </c>
      <c r="AP4" s="12">
        <f t="shared" si="15"/>
        <v>14331167.090000035</v>
      </c>
      <c r="AQ4" s="12">
        <f t="shared" si="15"/>
        <v>14316573.230000036</v>
      </c>
      <c r="AR4" s="17">
        <f t="shared" si="15"/>
        <v>14301979.370000036</v>
      </c>
      <c r="AS4" s="12">
        <f t="shared" si="16"/>
        <v>215843.14</v>
      </c>
      <c r="AT4" s="12">
        <f t="shared" si="11"/>
        <v>217623.57</v>
      </c>
      <c r="AU4" s="12">
        <f t="shared" si="12"/>
        <v>14593.86</v>
      </c>
      <c r="AV4" s="18">
        <f t="shared" si="13"/>
        <v>18135.3</v>
      </c>
      <c r="AW4" s="17">
        <f t="shared" si="14"/>
        <v>14593.86</v>
      </c>
      <c r="AX4" s="12"/>
      <c r="AY4" s="12"/>
      <c r="AZ4" s="19"/>
      <c r="BA4" s="20"/>
      <c r="BB4" s="20"/>
      <c r="BC4" s="20"/>
      <c r="BD4" s="20"/>
    </row>
    <row r="5" spans="1:56" s="21" customFormat="1" ht="36" x14ac:dyDescent="0.25">
      <c r="A5" s="7"/>
      <c r="B5" s="7">
        <v>4</v>
      </c>
      <c r="C5" s="7" t="s">
        <v>51</v>
      </c>
      <c r="D5" s="7" t="s">
        <v>52</v>
      </c>
      <c r="E5" s="7" t="s">
        <v>53</v>
      </c>
      <c r="F5" s="8" t="s">
        <v>54</v>
      </c>
      <c r="G5" s="7">
        <v>87</v>
      </c>
      <c r="H5" s="9" t="str">
        <f t="shared" si="0"/>
        <v>Жилой комплекс Зерде, Кудайбердыулы 4 - 87</v>
      </c>
      <c r="I5" s="10">
        <v>1</v>
      </c>
      <c r="J5" s="11">
        <v>17540173</v>
      </c>
      <c r="K5" s="11"/>
      <c r="L5" s="12">
        <v>14581336.260000015</v>
      </c>
      <c r="M5" s="12">
        <f t="shared" si="1"/>
        <v>14581336.260000015</v>
      </c>
      <c r="N5" s="10">
        <v>2</v>
      </c>
      <c r="O5" s="10">
        <v>62.1</v>
      </c>
      <c r="P5" s="10">
        <v>38.1</v>
      </c>
      <c r="Q5" s="10"/>
      <c r="R5" s="10"/>
      <c r="S5" s="10"/>
      <c r="T5" s="10"/>
      <c r="U5" s="13" t="s">
        <v>61</v>
      </c>
      <c r="V5" s="14" t="s">
        <v>56</v>
      </c>
      <c r="W5" s="7"/>
      <c r="X5" s="15"/>
      <c r="Y5" s="15"/>
      <c r="Z5" s="15">
        <v>19.3</v>
      </c>
      <c r="AA5" s="15" t="s">
        <v>57</v>
      </c>
      <c r="AB5" s="15">
        <f t="shared" si="2"/>
        <v>1.5</v>
      </c>
      <c r="AC5" s="16">
        <f t="shared" si="3"/>
        <v>28.950000000000003</v>
      </c>
      <c r="AD5" s="12">
        <f t="shared" si="4"/>
        <v>1797.8</v>
      </c>
      <c r="AE5" s="12">
        <v>14698.93</v>
      </c>
      <c r="AF5" s="12">
        <f t="shared" si="5"/>
        <v>14581336.260000015</v>
      </c>
      <c r="AG5" s="12">
        <f t="shared" si="6"/>
        <v>14566637.330000015</v>
      </c>
      <c r="AH5" s="12">
        <f t="shared" si="7"/>
        <v>14551938.400000015</v>
      </c>
      <c r="AI5" s="12">
        <f t="shared" si="8"/>
        <v>14537239.470000016</v>
      </c>
      <c r="AJ5" s="12">
        <f t="shared" si="9"/>
        <v>14522540.540000016</v>
      </c>
      <c r="AK5" s="12">
        <f t="shared" si="15"/>
        <v>14507841.610000016</v>
      </c>
      <c r="AL5" s="12">
        <f t="shared" si="15"/>
        <v>14493142.680000016</v>
      </c>
      <c r="AM5" s="12">
        <f t="shared" si="15"/>
        <v>14478443.750000017</v>
      </c>
      <c r="AN5" s="12">
        <f t="shared" si="15"/>
        <v>14463744.820000017</v>
      </c>
      <c r="AO5" s="12">
        <f t="shared" si="15"/>
        <v>14449045.890000017</v>
      </c>
      <c r="AP5" s="12">
        <f t="shared" si="15"/>
        <v>14434346.960000018</v>
      </c>
      <c r="AQ5" s="12">
        <f t="shared" si="15"/>
        <v>14419648.030000018</v>
      </c>
      <c r="AR5" s="17">
        <f t="shared" si="15"/>
        <v>14404949.100000018</v>
      </c>
      <c r="AS5" s="12">
        <f t="shared" si="16"/>
        <v>217397.14</v>
      </c>
      <c r="AT5" s="12">
        <f t="shared" si="11"/>
        <v>219194.94</v>
      </c>
      <c r="AU5" s="12">
        <f t="shared" si="12"/>
        <v>14698.93</v>
      </c>
      <c r="AV5" s="18">
        <f t="shared" si="13"/>
        <v>18266.25</v>
      </c>
      <c r="AW5" s="17">
        <f t="shared" si="14"/>
        <v>14698.93</v>
      </c>
      <c r="AX5" s="12"/>
      <c r="AY5" s="12"/>
      <c r="AZ5" s="19"/>
      <c r="BA5" s="20"/>
      <c r="BB5" s="20"/>
      <c r="BC5" s="20"/>
      <c r="BD5" s="20"/>
    </row>
    <row r="6" spans="1:56" s="21" customFormat="1" ht="36" x14ac:dyDescent="0.25">
      <c r="A6" s="7"/>
      <c r="B6" s="7">
        <v>5</v>
      </c>
      <c r="C6" s="7" t="s">
        <v>51</v>
      </c>
      <c r="D6" s="7" t="s">
        <v>62</v>
      </c>
      <c r="E6" s="7" t="s">
        <v>63</v>
      </c>
      <c r="F6" s="8" t="s">
        <v>64</v>
      </c>
      <c r="G6" s="7">
        <v>78</v>
      </c>
      <c r="H6" s="7" t="str">
        <f t="shared" si="0"/>
        <v>Жилой комплекс Лазурный квартал, Сарайшык 5Г - 78</v>
      </c>
      <c r="I6" s="10">
        <v>1</v>
      </c>
      <c r="J6" s="11">
        <v>21940149</v>
      </c>
      <c r="K6" s="11"/>
      <c r="L6" s="12">
        <v>18062204.630000044</v>
      </c>
      <c r="M6" s="12">
        <f t="shared" si="1"/>
        <v>18062204.630000044</v>
      </c>
      <c r="N6" s="10">
        <v>2</v>
      </c>
      <c r="O6" s="10">
        <v>75.7</v>
      </c>
      <c r="P6" s="10">
        <v>41.8</v>
      </c>
      <c r="Q6" s="10"/>
      <c r="R6" s="10"/>
      <c r="S6" s="10"/>
      <c r="T6" s="10"/>
      <c r="U6" s="22" t="s">
        <v>65</v>
      </c>
      <c r="V6" s="14" t="s">
        <v>56</v>
      </c>
      <c r="W6" s="7"/>
      <c r="X6" s="15"/>
      <c r="Y6" s="15"/>
      <c r="Z6" s="15">
        <v>19.3</v>
      </c>
      <c r="AA6" s="15" t="s">
        <v>57</v>
      </c>
      <c r="AB6" s="15">
        <f t="shared" si="2"/>
        <v>1.5</v>
      </c>
      <c r="AC6" s="16">
        <f t="shared" si="3"/>
        <v>28.950000000000003</v>
      </c>
      <c r="AD6" s="12">
        <f t="shared" si="4"/>
        <v>2191.52</v>
      </c>
      <c r="AE6" s="12">
        <v>20713.54</v>
      </c>
      <c r="AF6" s="12">
        <f t="shared" si="5"/>
        <v>18062204.630000044</v>
      </c>
      <c r="AG6" s="12">
        <f t="shared" si="6"/>
        <v>18041491.090000045</v>
      </c>
      <c r="AH6" s="12">
        <f t="shared" si="7"/>
        <v>18020777.550000045</v>
      </c>
      <c r="AI6" s="12">
        <f t="shared" si="8"/>
        <v>18000064.010000046</v>
      </c>
      <c r="AJ6" s="12">
        <f t="shared" si="9"/>
        <v>17979350.470000047</v>
      </c>
      <c r="AK6" s="12">
        <f t="shared" si="15"/>
        <v>17958636.930000048</v>
      </c>
      <c r="AL6" s="12">
        <f t="shared" si="15"/>
        <v>17937923.390000049</v>
      </c>
      <c r="AM6" s="12">
        <f t="shared" si="15"/>
        <v>17917209.85000005</v>
      </c>
      <c r="AN6" s="12">
        <f t="shared" si="15"/>
        <v>17896496.310000051</v>
      </c>
      <c r="AO6" s="12">
        <f t="shared" si="15"/>
        <v>17875782.770000052</v>
      </c>
      <c r="AP6" s="12">
        <f t="shared" si="15"/>
        <v>17855069.230000053</v>
      </c>
      <c r="AQ6" s="12">
        <f t="shared" si="15"/>
        <v>17834355.690000053</v>
      </c>
      <c r="AR6" s="17">
        <f t="shared" si="15"/>
        <v>17813642.150000054</v>
      </c>
      <c r="AS6" s="12">
        <f t="shared" si="16"/>
        <v>269068.84999999998</v>
      </c>
      <c r="AT6" s="12">
        <f t="shared" si="11"/>
        <v>271260.37</v>
      </c>
      <c r="AU6" s="12">
        <f t="shared" si="12"/>
        <v>20713.54</v>
      </c>
      <c r="AV6" s="18">
        <f t="shared" si="13"/>
        <v>22605.03</v>
      </c>
      <c r="AW6" s="17">
        <f t="shared" si="14"/>
        <v>20713.54</v>
      </c>
      <c r="AX6" s="12"/>
      <c r="AY6" s="12"/>
      <c r="AZ6" s="19"/>
      <c r="BA6" s="20"/>
      <c r="BB6" s="20"/>
      <c r="BC6" s="20"/>
      <c r="BD6" s="20"/>
    </row>
    <row r="7" spans="1:56" s="21" customFormat="1" ht="36" x14ac:dyDescent="0.25">
      <c r="A7" s="7"/>
      <c r="B7" s="7">
        <v>6</v>
      </c>
      <c r="C7" s="7" t="s">
        <v>58</v>
      </c>
      <c r="D7" s="7" t="s">
        <v>62</v>
      </c>
      <c r="E7" s="7" t="s">
        <v>63</v>
      </c>
      <c r="F7" s="8" t="s">
        <v>66</v>
      </c>
      <c r="G7" s="7">
        <v>66</v>
      </c>
      <c r="H7" s="7" t="str">
        <f t="shared" si="0"/>
        <v>Жилой комплекс Лазурный квартал, Сарайшык 5В - 66</v>
      </c>
      <c r="I7" s="10">
        <v>1</v>
      </c>
      <c r="J7" s="11">
        <v>32460168</v>
      </c>
      <c r="K7" s="11"/>
      <c r="L7" s="12">
        <v>26722799.199999992</v>
      </c>
      <c r="M7" s="12">
        <f t="shared" si="1"/>
        <v>26722799.199999992</v>
      </c>
      <c r="N7" s="10">
        <v>3</v>
      </c>
      <c r="O7" s="10">
        <v>99.5</v>
      </c>
      <c r="P7" s="10">
        <v>55.9</v>
      </c>
      <c r="Q7" s="10"/>
      <c r="R7" s="10"/>
      <c r="S7" s="10"/>
      <c r="T7" s="10"/>
      <c r="U7" s="22" t="s">
        <v>67</v>
      </c>
      <c r="V7" s="14" t="s">
        <v>56</v>
      </c>
      <c r="W7" s="7"/>
      <c r="X7" s="15"/>
      <c r="Y7" s="15"/>
      <c r="Z7" s="15">
        <v>19.3</v>
      </c>
      <c r="AA7" s="15" t="s">
        <v>57</v>
      </c>
      <c r="AB7" s="15">
        <f t="shared" si="2"/>
        <v>1.5</v>
      </c>
      <c r="AC7" s="16">
        <f t="shared" si="3"/>
        <v>28.950000000000003</v>
      </c>
      <c r="AD7" s="12">
        <f t="shared" si="4"/>
        <v>2880.53</v>
      </c>
      <c r="AE7" s="12">
        <v>30645.41</v>
      </c>
      <c r="AF7" s="12">
        <f t="shared" si="5"/>
        <v>26722799.199999992</v>
      </c>
      <c r="AG7" s="12">
        <f t="shared" si="6"/>
        <v>26692153.789999992</v>
      </c>
      <c r="AH7" s="12">
        <f t="shared" si="7"/>
        <v>26661508.379999992</v>
      </c>
      <c r="AI7" s="12">
        <f t="shared" si="8"/>
        <v>26630862.969999991</v>
      </c>
      <c r="AJ7" s="12">
        <f t="shared" si="9"/>
        <v>26600217.559999991</v>
      </c>
      <c r="AK7" s="12">
        <f t="shared" si="15"/>
        <v>26569572.149999991</v>
      </c>
      <c r="AL7" s="12">
        <f t="shared" si="15"/>
        <v>26538926.739999991</v>
      </c>
      <c r="AM7" s="12">
        <f t="shared" si="15"/>
        <v>26508281.329999991</v>
      </c>
      <c r="AN7" s="12">
        <f t="shared" si="15"/>
        <v>26477635.919999991</v>
      </c>
      <c r="AO7" s="12">
        <f t="shared" si="15"/>
        <v>26446990.50999999</v>
      </c>
      <c r="AP7" s="12">
        <f t="shared" si="15"/>
        <v>26416345.09999999</v>
      </c>
      <c r="AQ7" s="12">
        <f t="shared" si="15"/>
        <v>26385699.68999999</v>
      </c>
      <c r="AR7" s="17">
        <f t="shared" si="15"/>
        <v>26355054.27999999</v>
      </c>
      <c r="AS7" s="12">
        <f t="shared" si="16"/>
        <v>398083.9</v>
      </c>
      <c r="AT7" s="12">
        <f t="shared" si="11"/>
        <v>400964.43000000005</v>
      </c>
      <c r="AU7" s="12">
        <f t="shared" si="12"/>
        <v>30645.41</v>
      </c>
      <c r="AV7" s="18">
        <f t="shared" si="13"/>
        <v>33413.699999999997</v>
      </c>
      <c r="AW7" s="17">
        <f t="shared" si="14"/>
        <v>30645.41</v>
      </c>
      <c r="AX7" s="12"/>
      <c r="AY7" s="12"/>
      <c r="AZ7" s="19"/>
      <c r="BA7" s="20"/>
      <c r="BB7" s="20"/>
      <c r="BC7" s="20"/>
      <c r="BD7" s="20"/>
    </row>
    <row r="8" spans="1:56" s="21" customFormat="1" ht="36" x14ac:dyDescent="0.25">
      <c r="A8" s="7"/>
      <c r="B8" s="7">
        <v>7</v>
      </c>
      <c r="C8" s="7" t="s">
        <v>51</v>
      </c>
      <c r="D8" s="7" t="s">
        <v>62</v>
      </c>
      <c r="E8" s="7" t="s">
        <v>63</v>
      </c>
      <c r="F8" s="8" t="s">
        <v>66</v>
      </c>
      <c r="G8" s="7">
        <v>78</v>
      </c>
      <c r="H8" s="7" t="str">
        <f t="shared" si="0"/>
        <v>Жилой комплекс Лазурный квартал, Сарайшык 5В - 78</v>
      </c>
      <c r="I8" s="10">
        <v>1</v>
      </c>
      <c r="J8" s="11">
        <v>25641612</v>
      </c>
      <c r="K8" s="11"/>
      <c r="L8" s="12">
        <v>21109430.180000063</v>
      </c>
      <c r="M8" s="12">
        <f t="shared" si="1"/>
        <v>21109430.180000063</v>
      </c>
      <c r="N8" s="10">
        <v>2</v>
      </c>
      <c r="O8" s="10">
        <v>78.099999999999994</v>
      </c>
      <c r="P8" s="10">
        <v>42.5</v>
      </c>
      <c r="Q8" s="10"/>
      <c r="R8" s="10"/>
      <c r="S8" s="10"/>
      <c r="T8" s="10"/>
      <c r="U8" s="22" t="s">
        <v>68</v>
      </c>
      <c r="V8" s="14" t="s">
        <v>56</v>
      </c>
      <c r="W8" s="7"/>
      <c r="X8" s="15"/>
      <c r="Y8" s="15"/>
      <c r="Z8" s="15">
        <v>19.3</v>
      </c>
      <c r="AA8" s="15" t="s">
        <v>57</v>
      </c>
      <c r="AB8" s="15">
        <f t="shared" si="2"/>
        <v>1.5</v>
      </c>
      <c r="AC8" s="16">
        <f t="shared" si="3"/>
        <v>28.950000000000003</v>
      </c>
      <c r="AD8" s="12">
        <f t="shared" si="4"/>
        <v>2261</v>
      </c>
      <c r="AE8" s="12">
        <v>24208.06</v>
      </c>
      <c r="AF8" s="12">
        <f t="shared" si="5"/>
        <v>21109430.180000063</v>
      </c>
      <c r="AG8" s="12">
        <f t="shared" si="6"/>
        <v>21085222.120000064</v>
      </c>
      <c r="AH8" s="12">
        <f t="shared" si="7"/>
        <v>21061014.060000066</v>
      </c>
      <c r="AI8" s="12">
        <f t="shared" si="8"/>
        <v>21036806.000000067</v>
      </c>
      <c r="AJ8" s="12">
        <f t="shared" si="9"/>
        <v>21012597.940000068</v>
      </c>
      <c r="AK8" s="12">
        <f t="shared" si="15"/>
        <v>20988389.88000007</v>
      </c>
      <c r="AL8" s="12">
        <f t="shared" si="15"/>
        <v>20964181.820000071</v>
      </c>
      <c r="AM8" s="12">
        <f t="shared" si="15"/>
        <v>20939973.760000072</v>
      </c>
      <c r="AN8" s="12">
        <f t="shared" si="15"/>
        <v>20915765.700000074</v>
      </c>
      <c r="AO8" s="12">
        <f t="shared" si="15"/>
        <v>20891557.640000075</v>
      </c>
      <c r="AP8" s="12">
        <f t="shared" si="15"/>
        <v>20867349.580000076</v>
      </c>
      <c r="AQ8" s="12">
        <f t="shared" si="15"/>
        <v>20843141.520000078</v>
      </c>
      <c r="AR8" s="17">
        <f t="shared" si="15"/>
        <v>20818933.460000079</v>
      </c>
      <c r="AS8" s="12">
        <f t="shared" si="16"/>
        <v>314462.73</v>
      </c>
      <c r="AT8" s="12">
        <f t="shared" si="11"/>
        <v>316723.73</v>
      </c>
      <c r="AU8" s="12">
        <f t="shared" si="12"/>
        <v>24208.06</v>
      </c>
      <c r="AV8" s="18">
        <f t="shared" si="13"/>
        <v>26393.64</v>
      </c>
      <c r="AW8" s="17">
        <f t="shared" si="14"/>
        <v>24208.06</v>
      </c>
      <c r="AX8" s="12"/>
      <c r="AY8" s="12"/>
      <c r="AZ8" s="19"/>
      <c r="BA8" s="20"/>
      <c r="BB8" s="20"/>
      <c r="BC8" s="20"/>
      <c r="BD8" s="20"/>
    </row>
    <row r="9" spans="1:56" s="21" customFormat="1" ht="36" x14ac:dyDescent="0.25">
      <c r="A9" s="9"/>
      <c r="B9" s="9">
        <v>8</v>
      </c>
      <c r="C9" s="9" t="s">
        <v>51</v>
      </c>
      <c r="D9" s="9" t="s">
        <v>62</v>
      </c>
      <c r="E9" s="9" t="s">
        <v>63</v>
      </c>
      <c r="F9" s="23" t="s">
        <v>69</v>
      </c>
      <c r="G9" s="9">
        <v>101</v>
      </c>
      <c r="H9" s="9" t="str">
        <f t="shared" si="0"/>
        <v>Жилой комплекс Лазурный квартал, Сарайшык 5Д - 101</v>
      </c>
      <c r="I9" s="24">
        <v>1</v>
      </c>
      <c r="J9" s="25">
        <v>19359408</v>
      </c>
      <c r="K9" s="25"/>
      <c r="L9" s="17">
        <v>15937612.080000002</v>
      </c>
      <c r="M9" s="17">
        <f t="shared" si="1"/>
        <v>15937612.080000002</v>
      </c>
      <c r="N9" s="24">
        <v>2</v>
      </c>
      <c r="O9" s="24">
        <v>65.599999999999994</v>
      </c>
      <c r="P9" s="24">
        <v>36.700000000000003</v>
      </c>
      <c r="Q9" s="24"/>
      <c r="R9" s="24"/>
      <c r="S9" s="24"/>
      <c r="T9" s="24"/>
      <c r="U9" s="13" t="s">
        <v>70</v>
      </c>
      <c r="V9" s="26" t="s">
        <v>56</v>
      </c>
      <c r="W9" s="9"/>
      <c r="X9" s="27"/>
      <c r="Y9" s="27"/>
      <c r="Z9" s="27">
        <v>19.3</v>
      </c>
      <c r="AA9" s="27" t="s">
        <v>57</v>
      </c>
      <c r="AB9" s="27">
        <f t="shared" si="2"/>
        <v>1.5</v>
      </c>
      <c r="AC9" s="28">
        <f t="shared" si="3"/>
        <v>28.950000000000003</v>
      </c>
      <c r="AD9" s="17">
        <f t="shared" si="4"/>
        <v>1899.12</v>
      </c>
      <c r="AE9" s="17">
        <v>18277.080000000002</v>
      </c>
      <c r="AF9" s="17">
        <f t="shared" si="5"/>
        <v>15937612.080000002</v>
      </c>
      <c r="AG9" s="17">
        <f t="shared" si="6"/>
        <v>15919335.000000002</v>
      </c>
      <c r="AH9" s="17">
        <f t="shared" si="7"/>
        <v>15901057.920000002</v>
      </c>
      <c r="AI9" s="17">
        <f t="shared" si="8"/>
        <v>15882780.840000002</v>
      </c>
      <c r="AJ9" s="17">
        <f t="shared" si="9"/>
        <v>15864503.760000002</v>
      </c>
      <c r="AK9" s="17">
        <f t="shared" si="15"/>
        <v>15846226.680000002</v>
      </c>
      <c r="AL9" s="17">
        <f t="shared" si="15"/>
        <v>15827949.600000001</v>
      </c>
      <c r="AM9" s="17">
        <f t="shared" si="15"/>
        <v>15809672.520000001</v>
      </c>
      <c r="AN9" s="17">
        <f t="shared" si="15"/>
        <v>15791395.440000001</v>
      </c>
      <c r="AO9" s="17">
        <f t="shared" si="15"/>
        <v>15773118.360000001</v>
      </c>
      <c r="AP9" s="17">
        <f t="shared" si="15"/>
        <v>15754841.280000001</v>
      </c>
      <c r="AQ9" s="17">
        <f t="shared" si="15"/>
        <v>15736564.200000001</v>
      </c>
      <c r="AR9" s="17">
        <f t="shared" si="15"/>
        <v>15718287.120000001</v>
      </c>
      <c r="AS9" s="17">
        <f t="shared" si="16"/>
        <v>237419.24</v>
      </c>
      <c r="AT9" s="17">
        <f t="shared" si="11"/>
        <v>239318.36</v>
      </c>
      <c r="AU9" s="17">
        <f t="shared" si="12"/>
        <v>18277.080000000002</v>
      </c>
      <c r="AV9" s="18">
        <f t="shared" si="13"/>
        <v>19943.2</v>
      </c>
      <c r="AW9" s="17">
        <f t="shared" si="14"/>
        <v>18277.080000000002</v>
      </c>
      <c r="AX9" s="17"/>
      <c r="AY9" s="17"/>
      <c r="AZ9" s="29"/>
      <c r="BA9" s="30"/>
      <c r="BB9" s="30"/>
      <c r="BC9" s="30"/>
      <c r="BD9" s="30"/>
    </row>
    <row r="10" spans="1:56" s="21" customFormat="1" ht="36" x14ac:dyDescent="0.25">
      <c r="A10" s="7"/>
      <c r="B10" s="7">
        <v>9</v>
      </c>
      <c r="C10" s="7" t="s">
        <v>51</v>
      </c>
      <c r="D10" s="7" t="s">
        <v>62</v>
      </c>
      <c r="E10" s="7" t="s">
        <v>63</v>
      </c>
      <c r="F10" s="8" t="s">
        <v>69</v>
      </c>
      <c r="G10" s="7">
        <v>105</v>
      </c>
      <c r="H10" s="7" t="str">
        <f t="shared" si="0"/>
        <v>Жилой комплекс Лазурный квартал, Сарайшык 5Д - 105</v>
      </c>
      <c r="I10" s="10">
        <v>1</v>
      </c>
      <c r="J10" s="11">
        <v>18936438</v>
      </c>
      <c r="K10" s="11"/>
      <c r="L10" s="12">
        <v>15589402.250000011</v>
      </c>
      <c r="M10" s="12">
        <f t="shared" si="1"/>
        <v>15589402.250000011</v>
      </c>
      <c r="N10" s="10">
        <v>2</v>
      </c>
      <c r="O10" s="10">
        <v>65.900000000000006</v>
      </c>
      <c r="P10" s="10">
        <v>36.9</v>
      </c>
      <c r="Q10" s="10"/>
      <c r="R10" s="10"/>
      <c r="S10" s="10"/>
      <c r="T10" s="10"/>
      <c r="U10" s="22" t="s">
        <v>71</v>
      </c>
      <c r="V10" s="14" t="s">
        <v>56</v>
      </c>
      <c r="W10" s="7"/>
      <c r="X10" s="15"/>
      <c r="Y10" s="15"/>
      <c r="Z10" s="15">
        <v>19.3</v>
      </c>
      <c r="AA10" s="15" t="s">
        <v>57</v>
      </c>
      <c r="AB10" s="15">
        <f t="shared" si="2"/>
        <v>1.5</v>
      </c>
      <c r="AC10" s="16">
        <f t="shared" si="3"/>
        <v>28.950000000000003</v>
      </c>
      <c r="AD10" s="12">
        <f t="shared" si="4"/>
        <v>1907.81</v>
      </c>
      <c r="AE10" s="12">
        <v>17877.759999999998</v>
      </c>
      <c r="AF10" s="12">
        <f t="shared" si="5"/>
        <v>15589402.250000011</v>
      </c>
      <c r="AG10" s="12">
        <f t="shared" si="6"/>
        <v>15571524.490000011</v>
      </c>
      <c r="AH10" s="12">
        <f t="shared" si="7"/>
        <v>15553646.730000012</v>
      </c>
      <c r="AI10" s="12">
        <f t="shared" si="8"/>
        <v>15535768.970000012</v>
      </c>
      <c r="AJ10" s="12">
        <f t="shared" si="9"/>
        <v>15517891.210000012</v>
      </c>
      <c r="AK10" s="12">
        <f t="shared" si="15"/>
        <v>15500013.450000012</v>
      </c>
      <c r="AL10" s="12">
        <f t="shared" si="15"/>
        <v>15482135.690000013</v>
      </c>
      <c r="AM10" s="12">
        <f t="shared" si="15"/>
        <v>15464257.930000013</v>
      </c>
      <c r="AN10" s="12">
        <f t="shared" si="15"/>
        <v>15446380.170000013</v>
      </c>
      <c r="AO10" s="12">
        <f t="shared" si="15"/>
        <v>15428502.410000013</v>
      </c>
      <c r="AP10" s="12">
        <f t="shared" si="15"/>
        <v>15410624.650000013</v>
      </c>
      <c r="AQ10" s="12">
        <f t="shared" si="15"/>
        <v>15392746.890000014</v>
      </c>
      <c r="AR10" s="17">
        <f t="shared" si="15"/>
        <v>15374869.130000014</v>
      </c>
      <c r="AS10" s="12">
        <f t="shared" si="16"/>
        <v>232232.04</v>
      </c>
      <c r="AT10" s="12">
        <f t="shared" si="11"/>
        <v>234139.85</v>
      </c>
      <c r="AU10" s="12">
        <f t="shared" si="12"/>
        <v>17877.759999999998</v>
      </c>
      <c r="AV10" s="18">
        <f t="shared" si="13"/>
        <v>19511.650000000001</v>
      </c>
      <c r="AW10" s="17">
        <f t="shared" si="14"/>
        <v>17877.759999999998</v>
      </c>
      <c r="AX10" s="12"/>
      <c r="AY10" s="12"/>
      <c r="AZ10" s="19"/>
      <c r="BA10" s="20"/>
      <c r="BB10" s="20"/>
      <c r="BC10" s="20"/>
      <c r="BD10" s="20"/>
    </row>
    <row r="11" spans="1:56" s="21" customFormat="1" ht="36" x14ac:dyDescent="0.25">
      <c r="A11" s="7"/>
      <c r="B11" s="7">
        <v>10</v>
      </c>
      <c r="C11" s="7" t="s">
        <v>51</v>
      </c>
      <c r="D11" s="7" t="s">
        <v>62</v>
      </c>
      <c r="E11" s="7" t="s">
        <v>63</v>
      </c>
      <c r="F11" s="8" t="s">
        <v>69</v>
      </c>
      <c r="G11" s="7">
        <v>12</v>
      </c>
      <c r="H11" s="9" t="str">
        <f t="shared" si="0"/>
        <v>Жилой комплекс Лазурный квартал, Сарайшык 5Д - 12</v>
      </c>
      <c r="I11" s="10">
        <v>1</v>
      </c>
      <c r="J11" s="11">
        <v>19856123</v>
      </c>
      <c r="K11" s="11"/>
      <c r="L11" s="12">
        <v>16346532.460000023</v>
      </c>
      <c r="M11" s="12">
        <f t="shared" si="1"/>
        <v>16346532.460000023</v>
      </c>
      <c r="N11" s="10">
        <v>2</v>
      </c>
      <c r="O11" s="10">
        <v>65.5</v>
      </c>
      <c r="P11" s="10">
        <v>35.6</v>
      </c>
      <c r="Q11" s="10"/>
      <c r="R11" s="10"/>
      <c r="S11" s="10"/>
      <c r="T11" s="10"/>
      <c r="U11" s="13" t="s">
        <v>72</v>
      </c>
      <c r="V11" s="14" t="s">
        <v>56</v>
      </c>
      <c r="W11" s="7"/>
      <c r="X11" s="15"/>
      <c r="Y11" s="15"/>
      <c r="Z11" s="15">
        <v>19.3</v>
      </c>
      <c r="AA11" s="15" t="s">
        <v>57</v>
      </c>
      <c r="AB11" s="15">
        <f t="shared" si="2"/>
        <v>1.5</v>
      </c>
      <c r="AC11" s="16">
        <f t="shared" si="3"/>
        <v>28.950000000000003</v>
      </c>
      <c r="AD11" s="12">
        <f t="shared" si="4"/>
        <v>1896.23</v>
      </c>
      <c r="AE11" s="12">
        <v>18746.02</v>
      </c>
      <c r="AF11" s="12">
        <f t="shared" si="5"/>
        <v>16346532.460000023</v>
      </c>
      <c r="AG11" s="12">
        <f t="shared" si="6"/>
        <v>16327786.440000024</v>
      </c>
      <c r="AH11" s="12">
        <f t="shared" si="7"/>
        <v>16309040.420000024</v>
      </c>
      <c r="AI11" s="12">
        <f t="shared" si="8"/>
        <v>16290294.400000025</v>
      </c>
      <c r="AJ11" s="12">
        <f t="shared" si="9"/>
        <v>16271548.380000025</v>
      </c>
      <c r="AK11" s="12">
        <f t="shared" si="15"/>
        <v>16252802.360000025</v>
      </c>
      <c r="AL11" s="12">
        <f t="shared" si="15"/>
        <v>16234056.340000026</v>
      </c>
      <c r="AM11" s="12">
        <f t="shared" si="15"/>
        <v>16215310.320000026</v>
      </c>
      <c r="AN11" s="12">
        <f t="shared" si="15"/>
        <v>16196564.300000027</v>
      </c>
      <c r="AO11" s="12">
        <f t="shared" si="15"/>
        <v>16177818.280000027</v>
      </c>
      <c r="AP11" s="12">
        <f t="shared" si="15"/>
        <v>16159072.260000028</v>
      </c>
      <c r="AQ11" s="12">
        <f t="shared" si="15"/>
        <v>16140326.240000028</v>
      </c>
      <c r="AR11" s="17">
        <f t="shared" si="15"/>
        <v>16121580.220000029</v>
      </c>
      <c r="AS11" s="12">
        <f t="shared" si="16"/>
        <v>243510.85</v>
      </c>
      <c r="AT11" s="12">
        <f t="shared" si="11"/>
        <v>245407.08000000002</v>
      </c>
      <c r="AU11" s="12">
        <f t="shared" si="12"/>
        <v>18746.02</v>
      </c>
      <c r="AV11" s="18">
        <f t="shared" si="13"/>
        <v>20450.59</v>
      </c>
      <c r="AW11" s="17">
        <f t="shared" si="14"/>
        <v>18746.02</v>
      </c>
      <c r="AX11" s="12"/>
      <c r="AY11" s="12"/>
      <c r="AZ11" s="19"/>
      <c r="BA11" s="20"/>
      <c r="BB11" s="20"/>
      <c r="BC11" s="20"/>
      <c r="BD11" s="20"/>
    </row>
    <row r="12" spans="1:56" s="21" customFormat="1" ht="36" x14ac:dyDescent="0.25">
      <c r="A12" s="7"/>
      <c r="B12" s="7">
        <v>11</v>
      </c>
      <c r="C12" s="7" t="s">
        <v>51</v>
      </c>
      <c r="D12" s="7" t="s">
        <v>62</v>
      </c>
      <c r="E12" s="7" t="s">
        <v>63</v>
      </c>
      <c r="F12" s="8" t="s">
        <v>69</v>
      </c>
      <c r="G12" s="7">
        <v>17</v>
      </c>
      <c r="H12" s="7" t="str">
        <f t="shared" si="0"/>
        <v>Жилой комплекс Лазурный квартал, Сарайшык 5Д - 17</v>
      </c>
      <c r="I12" s="10">
        <v>1</v>
      </c>
      <c r="J12" s="11">
        <v>19482096</v>
      </c>
      <c r="K12" s="11"/>
      <c r="L12" s="12">
        <v>16038614.759999994</v>
      </c>
      <c r="M12" s="12">
        <f t="shared" si="1"/>
        <v>16038614.759999994</v>
      </c>
      <c r="N12" s="10">
        <v>2</v>
      </c>
      <c r="O12" s="10">
        <v>66.3</v>
      </c>
      <c r="P12" s="10">
        <v>36.1</v>
      </c>
      <c r="Q12" s="10"/>
      <c r="R12" s="10"/>
      <c r="S12" s="10"/>
      <c r="T12" s="10"/>
      <c r="U12" s="22" t="s">
        <v>65</v>
      </c>
      <c r="V12" s="14" t="s">
        <v>56</v>
      </c>
      <c r="W12" s="7"/>
      <c r="X12" s="15"/>
      <c r="Y12" s="15"/>
      <c r="Z12" s="15">
        <v>19.3</v>
      </c>
      <c r="AA12" s="15" t="s">
        <v>57</v>
      </c>
      <c r="AB12" s="15">
        <f t="shared" si="2"/>
        <v>1.5</v>
      </c>
      <c r="AC12" s="16">
        <f t="shared" si="3"/>
        <v>28.950000000000003</v>
      </c>
      <c r="AD12" s="12">
        <f t="shared" si="4"/>
        <v>1919.39</v>
      </c>
      <c r="AE12" s="12">
        <v>18392.91</v>
      </c>
      <c r="AF12" s="12">
        <f t="shared" si="5"/>
        <v>16038614.759999994</v>
      </c>
      <c r="AG12" s="12">
        <f t="shared" si="6"/>
        <v>16020221.849999994</v>
      </c>
      <c r="AH12" s="12">
        <f t="shared" si="7"/>
        <v>16001828.939999994</v>
      </c>
      <c r="AI12" s="12">
        <f t="shared" si="8"/>
        <v>15983436.029999994</v>
      </c>
      <c r="AJ12" s="12">
        <f t="shared" si="9"/>
        <v>15965043.119999994</v>
      </c>
      <c r="AK12" s="12">
        <f t="shared" si="15"/>
        <v>15946650.209999993</v>
      </c>
      <c r="AL12" s="12">
        <f t="shared" si="15"/>
        <v>15928257.299999993</v>
      </c>
      <c r="AM12" s="12">
        <f t="shared" si="15"/>
        <v>15909864.389999993</v>
      </c>
      <c r="AN12" s="12">
        <f t="shared" si="15"/>
        <v>15891471.479999993</v>
      </c>
      <c r="AO12" s="12">
        <f t="shared" si="15"/>
        <v>15873078.569999993</v>
      </c>
      <c r="AP12" s="12">
        <f t="shared" si="15"/>
        <v>15854685.659999993</v>
      </c>
      <c r="AQ12" s="12">
        <f t="shared" si="15"/>
        <v>15836292.749999993</v>
      </c>
      <c r="AR12" s="17">
        <f t="shared" si="15"/>
        <v>15817899.839999992</v>
      </c>
      <c r="AS12" s="12">
        <f t="shared" si="16"/>
        <v>238923.86</v>
      </c>
      <c r="AT12" s="12">
        <f t="shared" si="11"/>
        <v>240843.25</v>
      </c>
      <c r="AU12" s="12">
        <f t="shared" si="12"/>
        <v>18392.91</v>
      </c>
      <c r="AV12" s="18">
        <f t="shared" si="13"/>
        <v>20070.27</v>
      </c>
      <c r="AW12" s="17">
        <f t="shared" si="14"/>
        <v>18392.91</v>
      </c>
      <c r="AX12" s="12"/>
      <c r="AY12" s="12"/>
      <c r="AZ12" s="19"/>
      <c r="BA12" s="20"/>
      <c r="BB12" s="20"/>
      <c r="BC12" s="20"/>
      <c r="BD12" s="20"/>
    </row>
    <row r="13" spans="1:56" s="21" customFormat="1" ht="36" x14ac:dyDescent="0.25">
      <c r="A13" s="7"/>
      <c r="B13" s="7">
        <v>12</v>
      </c>
      <c r="C13" s="7" t="s">
        <v>51</v>
      </c>
      <c r="D13" s="7" t="s">
        <v>62</v>
      </c>
      <c r="E13" s="7" t="s">
        <v>63</v>
      </c>
      <c r="F13" s="8" t="s">
        <v>69</v>
      </c>
      <c r="G13" s="7">
        <v>20</v>
      </c>
      <c r="H13" s="9" t="str">
        <f t="shared" si="0"/>
        <v>Жилой комплекс Лазурный квартал, Сарайшык 5Д - 20</v>
      </c>
      <c r="I13" s="10">
        <v>1</v>
      </c>
      <c r="J13" s="11">
        <v>20231962</v>
      </c>
      <c r="K13" s="11"/>
      <c r="L13" s="12">
        <v>16655941.179999942</v>
      </c>
      <c r="M13" s="12">
        <f t="shared" si="1"/>
        <v>16655941.179999942</v>
      </c>
      <c r="N13" s="10">
        <v>2</v>
      </c>
      <c r="O13" s="10">
        <v>68.900000000000006</v>
      </c>
      <c r="P13" s="10">
        <v>39.9</v>
      </c>
      <c r="Q13" s="10"/>
      <c r="R13" s="10"/>
      <c r="S13" s="10"/>
      <c r="T13" s="10"/>
      <c r="U13" s="13" t="s">
        <v>73</v>
      </c>
      <c r="V13" s="14" t="s">
        <v>56</v>
      </c>
      <c r="W13" s="7"/>
      <c r="X13" s="15"/>
      <c r="Y13" s="15"/>
      <c r="Z13" s="15">
        <v>19.3</v>
      </c>
      <c r="AA13" s="15" t="s">
        <v>57</v>
      </c>
      <c r="AB13" s="15">
        <f t="shared" si="2"/>
        <v>1.5</v>
      </c>
      <c r="AC13" s="16">
        <f t="shared" si="3"/>
        <v>28.950000000000003</v>
      </c>
      <c r="AD13" s="12">
        <f t="shared" si="4"/>
        <v>1994.66</v>
      </c>
      <c r="AE13" s="12">
        <v>19100.849999999999</v>
      </c>
      <c r="AF13" s="12">
        <f t="shared" si="5"/>
        <v>16655941.179999942</v>
      </c>
      <c r="AG13" s="12">
        <f t="shared" si="6"/>
        <v>16636840.329999942</v>
      </c>
      <c r="AH13" s="12">
        <f t="shared" si="7"/>
        <v>16617739.479999943</v>
      </c>
      <c r="AI13" s="12">
        <f t="shared" si="8"/>
        <v>16598638.629999943</v>
      </c>
      <c r="AJ13" s="12">
        <f t="shared" si="9"/>
        <v>16579537.779999943</v>
      </c>
      <c r="AK13" s="12">
        <f t="shared" si="15"/>
        <v>16560436.929999944</v>
      </c>
      <c r="AL13" s="12">
        <f t="shared" si="15"/>
        <v>16541336.079999944</v>
      </c>
      <c r="AM13" s="12">
        <f t="shared" si="15"/>
        <v>16522235.229999945</v>
      </c>
      <c r="AN13" s="12">
        <f t="shared" si="15"/>
        <v>16503134.379999945</v>
      </c>
      <c r="AO13" s="12">
        <f t="shared" si="15"/>
        <v>16484033.529999945</v>
      </c>
      <c r="AP13" s="12">
        <f t="shared" si="15"/>
        <v>16464932.679999946</v>
      </c>
      <c r="AQ13" s="12">
        <f t="shared" si="15"/>
        <v>16445831.829999946</v>
      </c>
      <c r="AR13" s="17">
        <f t="shared" si="15"/>
        <v>16426730.979999946</v>
      </c>
      <c r="AS13" s="12">
        <f t="shared" si="16"/>
        <v>248120.04</v>
      </c>
      <c r="AT13" s="12">
        <f t="shared" si="11"/>
        <v>250114.7</v>
      </c>
      <c r="AU13" s="12">
        <f t="shared" si="12"/>
        <v>19100.849999999999</v>
      </c>
      <c r="AV13" s="18">
        <f t="shared" si="13"/>
        <v>20842.89</v>
      </c>
      <c r="AW13" s="17">
        <f t="shared" si="14"/>
        <v>19100.849999999999</v>
      </c>
      <c r="AX13" s="12"/>
      <c r="AY13" s="12"/>
      <c r="AZ13" s="19"/>
      <c r="BA13" s="20"/>
      <c r="BB13" s="20"/>
      <c r="BC13" s="20"/>
      <c r="BD13" s="20"/>
    </row>
    <row r="14" spans="1:56" s="21" customFormat="1" ht="36" x14ac:dyDescent="0.25">
      <c r="A14" s="7"/>
      <c r="B14" s="7">
        <v>13</v>
      </c>
      <c r="C14" s="7" t="s">
        <v>51</v>
      </c>
      <c r="D14" s="7" t="s">
        <v>62</v>
      </c>
      <c r="E14" s="7" t="s">
        <v>63</v>
      </c>
      <c r="F14" s="8" t="s">
        <v>69</v>
      </c>
      <c r="G14" s="7">
        <v>21</v>
      </c>
      <c r="H14" s="9" t="str">
        <f t="shared" si="0"/>
        <v>Жилой комплекс Лазурный квартал, Сарайшык 5Д - 21</v>
      </c>
      <c r="I14" s="10">
        <v>1</v>
      </c>
      <c r="J14" s="11">
        <v>20289644</v>
      </c>
      <c r="K14" s="11"/>
      <c r="L14" s="12">
        <v>16703428.030000057</v>
      </c>
      <c r="M14" s="12">
        <f t="shared" si="1"/>
        <v>16703428.030000057</v>
      </c>
      <c r="N14" s="10">
        <v>2</v>
      </c>
      <c r="O14" s="10">
        <v>69.099999999999994</v>
      </c>
      <c r="P14" s="10">
        <v>40.1</v>
      </c>
      <c r="Q14" s="10"/>
      <c r="R14" s="10"/>
      <c r="S14" s="10"/>
      <c r="T14" s="10"/>
      <c r="U14" s="13" t="s">
        <v>74</v>
      </c>
      <c r="V14" s="14" t="s">
        <v>56</v>
      </c>
      <c r="W14" s="7"/>
      <c r="X14" s="15"/>
      <c r="Y14" s="15"/>
      <c r="Z14" s="15">
        <v>19.3</v>
      </c>
      <c r="AA14" s="15" t="s">
        <v>57</v>
      </c>
      <c r="AB14" s="15">
        <f t="shared" si="2"/>
        <v>1.5</v>
      </c>
      <c r="AC14" s="16">
        <f t="shared" si="3"/>
        <v>28.950000000000003</v>
      </c>
      <c r="AD14" s="12">
        <f t="shared" si="4"/>
        <v>2000.45</v>
      </c>
      <c r="AE14" s="12">
        <v>19155.310000000001</v>
      </c>
      <c r="AF14" s="12">
        <f t="shared" si="5"/>
        <v>16703428.030000057</v>
      </c>
      <c r="AG14" s="12">
        <f t="shared" si="6"/>
        <v>16684272.720000057</v>
      </c>
      <c r="AH14" s="12">
        <f t="shared" si="7"/>
        <v>16665117.410000056</v>
      </c>
      <c r="AI14" s="12">
        <f t="shared" si="8"/>
        <v>16645962.100000056</v>
      </c>
      <c r="AJ14" s="12">
        <f t="shared" si="9"/>
        <v>16626806.790000055</v>
      </c>
      <c r="AK14" s="12">
        <f t="shared" si="15"/>
        <v>16607651.480000054</v>
      </c>
      <c r="AL14" s="12">
        <f t="shared" si="15"/>
        <v>16588496.170000054</v>
      </c>
      <c r="AM14" s="12">
        <f t="shared" si="15"/>
        <v>16569340.860000053</v>
      </c>
      <c r="AN14" s="12">
        <f t="shared" si="15"/>
        <v>16550185.550000053</v>
      </c>
      <c r="AO14" s="12">
        <f t="shared" si="15"/>
        <v>16531030.240000052</v>
      </c>
      <c r="AP14" s="12">
        <f t="shared" si="15"/>
        <v>16511874.930000052</v>
      </c>
      <c r="AQ14" s="12">
        <f t="shared" si="15"/>
        <v>16492719.620000051</v>
      </c>
      <c r="AR14" s="17">
        <f t="shared" si="15"/>
        <v>16473564.310000051</v>
      </c>
      <c r="AS14" s="12">
        <f t="shared" si="16"/>
        <v>248827.44</v>
      </c>
      <c r="AT14" s="12">
        <f t="shared" si="11"/>
        <v>250827.89</v>
      </c>
      <c r="AU14" s="12">
        <f t="shared" si="12"/>
        <v>19155.310000000001</v>
      </c>
      <c r="AV14" s="18">
        <f t="shared" si="13"/>
        <v>20902.32</v>
      </c>
      <c r="AW14" s="17">
        <f t="shared" si="14"/>
        <v>19155.310000000001</v>
      </c>
      <c r="AX14" s="12"/>
      <c r="AY14" s="12"/>
      <c r="AZ14" s="19"/>
      <c r="BA14" s="20"/>
      <c r="BB14" s="20"/>
      <c r="BC14" s="20"/>
      <c r="BD14" s="20"/>
    </row>
    <row r="15" spans="1:56" s="21" customFormat="1" ht="36" x14ac:dyDescent="0.25">
      <c r="A15" s="7"/>
      <c r="B15" s="7">
        <v>14</v>
      </c>
      <c r="C15" s="7" t="s">
        <v>51</v>
      </c>
      <c r="D15" s="7" t="s">
        <v>62</v>
      </c>
      <c r="E15" s="7" t="s">
        <v>63</v>
      </c>
      <c r="F15" s="8" t="s">
        <v>69</v>
      </c>
      <c r="G15" s="7">
        <v>6</v>
      </c>
      <c r="H15" s="9" t="str">
        <f t="shared" si="0"/>
        <v>Жилой комплекс Лазурный квартал, Сарайшык 5Д - 6</v>
      </c>
      <c r="I15" s="10">
        <v>1</v>
      </c>
      <c r="J15" s="11">
        <v>20841492</v>
      </c>
      <c r="K15" s="11"/>
      <c r="L15" s="12">
        <v>17157736.539999966</v>
      </c>
      <c r="M15" s="12">
        <f t="shared" si="1"/>
        <v>17157736.539999966</v>
      </c>
      <c r="N15" s="10">
        <v>2</v>
      </c>
      <c r="O15" s="10">
        <v>68.900000000000006</v>
      </c>
      <c r="P15" s="10">
        <v>39.700000000000003</v>
      </c>
      <c r="Q15" s="10"/>
      <c r="R15" s="10"/>
      <c r="S15" s="10"/>
      <c r="T15" s="10"/>
      <c r="U15" s="13" t="s">
        <v>75</v>
      </c>
      <c r="V15" s="14" t="s">
        <v>56</v>
      </c>
      <c r="W15" s="7"/>
      <c r="X15" s="15"/>
      <c r="Y15" s="15"/>
      <c r="Z15" s="15">
        <v>19.3</v>
      </c>
      <c r="AA15" s="15" t="s">
        <v>57</v>
      </c>
      <c r="AB15" s="15">
        <f t="shared" si="2"/>
        <v>1.5</v>
      </c>
      <c r="AC15" s="16">
        <f t="shared" si="3"/>
        <v>28.950000000000003</v>
      </c>
      <c r="AD15" s="12">
        <f t="shared" si="4"/>
        <v>1994.66</v>
      </c>
      <c r="AE15" s="12">
        <v>19676.3</v>
      </c>
      <c r="AF15" s="12">
        <f t="shared" si="5"/>
        <v>17157736.539999966</v>
      </c>
      <c r="AG15" s="12">
        <f t="shared" si="6"/>
        <v>17138060.239999965</v>
      </c>
      <c r="AH15" s="12">
        <f t="shared" si="7"/>
        <v>17118383.939999964</v>
      </c>
      <c r="AI15" s="12">
        <f t="shared" si="8"/>
        <v>17098707.639999963</v>
      </c>
      <c r="AJ15" s="12">
        <f t="shared" si="9"/>
        <v>17079031.339999963</v>
      </c>
      <c r="AK15" s="12">
        <f t="shared" si="15"/>
        <v>17059355.039999962</v>
      </c>
      <c r="AL15" s="12">
        <f t="shared" si="15"/>
        <v>17039678.739999961</v>
      </c>
      <c r="AM15" s="12">
        <f t="shared" si="15"/>
        <v>17020002.43999996</v>
      </c>
      <c r="AN15" s="12">
        <f t="shared" si="15"/>
        <v>17000326.13999996</v>
      </c>
      <c r="AO15" s="12">
        <f t="shared" si="15"/>
        <v>16980649.839999959</v>
      </c>
      <c r="AP15" s="12">
        <f t="shared" si="15"/>
        <v>16960973.539999958</v>
      </c>
      <c r="AQ15" s="12">
        <f t="shared" si="15"/>
        <v>16941297.239999957</v>
      </c>
      <c r="AR15" s="17">
        <f t="shared" si="15"/>
        <v>16921620.939999957</v>
      </c>
      <c r="AS15" s="12">
        <f t="shared" si="16"/>
        <v>255595.18</v>
      </c>
      <c r="AT15" s="12">
        <f t="shared" si="11"/>
        <v>257589.84</v>
      </c>
      <c r="AU15" s="12">
        <f t="shared" si="12"/>
        <v>19676.3</v>
      </c>
      <c r="AV15" s="18">
        <f t="shared" si="13"/>
        <v>21465.82</v>
      </c>
      <c r="AW15" s="17">
        <f t="shared" si="14"/>
        <v>19676.3</v>
      </c>
      <c r="AX15" s="12"/>
      <c r="AY15" s="12"/>
      <c r="AZ15" s="19"/>
      <c r="BA15" s="20"/>
      <c r="BB15" s="20"/>
      <c r="BC15" s="20"/>
      <c r="BD15" s="20"/>
    </row>
    <row r="16" spans="1:56" s="21" customFormat="1" ht="36" x14ac:dyDescent="0.25">
      <c r="A16" s="7"/>
      <c r="B16" s="7">
        <v>15</v>
      </c>
      <c r="C16" s="7" t="s">
        <v>51</v>
      </c>
      <c r="D16" s="7" t="s">
        <v>62</v>
      </c>
      <c r="E16" s="7" t="s">
        <v>63</v>
      </c>
      <c r="F16" s="8" t="s">
        <v>69</v>
      </c>
      <c r="G16" s="7">
        <v>7</v>
      </c>
      <c r="H16" s="9" t="str">
        <f t="shared" si="0"/>
        <v>Жилой комплекс Лазурный квартал, Сарайшык 5Д - 7</v>
      </c>
      <c r="I16" s="10">
        <v>1</v>
      </c>
      <c r="J16" s="11">
        <v>19341496</v>
      </c>
      <c r="K16" s="11"/>
      <c r="L16" s="12">
        <v>15922865.790000001</v>
      </c>
      <c r="M16" s="12">
        <f t="shared" si="1"/>
        <v>15922865.790000001</v>
      </c>
      <c r="N16" s="10">
        <v>2</v>
      </c>
      <c r="O16" s="10">
        <v>65.900000000000006</v>
      </c>
      <c r="P16" s="10">
        <v>35.700000000000003</v>
      </c>
      <c r="Q16" s="10"/>
      <c r="R16" s="10"/>
      <c r="S16" s="10"/>
      <c r="T16" s="10"/>
      <c r="U16" s="13" t="s">
        <v>76</v>
      </c>
      <c r="V16" s="14" t="s">
        <v>56</v>
      </c>
      <c r="W16" s="7"/>
      <c r="X16" s="15"/>
      <c r="Y16" s="15"/>
      <c r="Z16" s="15">
        <v>19.3</v>
      </c>
      <c r="AA16" s="15" t="s">
        <v>57</v>
      </c>
      <c r="AB16" s="15">
        <f t="shared" si="2"/>
        <v>1.5</v>
      </c>
      <c r="AC16" s="16">
        <f t="shared" si="3"/>
        <v>28.950000000000003</v>
      </c>
      <c r="AD16" s="12">
        <f t="shared" si="4"/>
        <v>1907.81</v>
      </c>
      <c r="AE16" s="12">
        <v>18260.169999999998</v>
      </c>
      <c r="AF16" s="12">
        <f t="shared" si="5"/>
        <v>15922865.790000001</v>
      </c>
      <c r="AG16" s="12">
        <f t="shared" si="6"/>
        <v>15904605.620000001</v>
      </c>
      <c r="AH16" s="12">
        <f t="shared" si="7"/>
        <v>15886345.450000001</v>
      </c>
      <c r="AI16" s="12">
        <f t="shared" si="8"/>
        <v>15868085.280000001</v>
      </c>
      <c r="AJ16" s="12">
        <f t="shared" si="9"/>
        <v>15849825.110000001</v>
      </c>
      <c r="AK16" s="12">
        <f t="shared" si="15"/>
        <v>15831564.940000001</v>
      </c>
      <c r="AL16" s="12">
        <f t="shared" si="15"/>
        <v>15813304.770000001</v>
      </c>
      <c r="AM16" s="12">
        <f t="shared" si="15"/>
        <v>15795044.600000001</v>
      </c>
      <c r="AN16" s="12">
        <f t="shared" si="15"/>
        <v>15776784.430000002</v>
      </c>
      <c r="AO16" s="12">
        <f t="shared" si="15"/>
        <v>15758524.260000002</v>
      </c>
      <c r="AP16" s="12">
        <f t="shared" si="15"/>
        <v>15740264.090000002</v>
      </c>
      <c r="AQ16" s="12">
        <f t="shared" si="15"/>
        <v>15722003.920000002</v>
      </c>
      <c r="AR16" s="17">
        <f t="shared" si="15"/>
        <v>15703743.750000002</v>
      </c>
      <c r="AS16" s="12">
        <f t="shared" si="16"/>
        <v>237199.57</v>
      </c>
      <c r="AT16" s="12">
        <f t="shared" si="11"/>
        <v>239107.38</v>
      </c>
      <c r="AU16" s="12">
        <f t="shared" si="12"/>
        <v>18260.169999999998</v>
      </c>
      <c r="AV16" s="18">
        <f t="shared" si="13"/>
        <v>19925.62</v>
      </c>
      <c r="AW16" s="17">
        <f t="shared" si="14"/>
        <v>18260.169999999998</v>
      </c>
      <c r="AX16" s="12"/>
      <c r="AY16" s="12"/>
      <c r="AZ16" s="19"/>
      <c r="BA16" s="20"/>
      <c r="BB16" s="20"/>
      <c r="BC16" s="20"/>
      <c r="BD16" s="20"/>
    </row>
    <row r="17" spans="1:56" s="21" customFormat="1" ht="36" x14ac:dyDescent="0.25">
      <c r="A17" s="7"/>
      <c r="B17" s="7">
        <v>16</v>
      </c>
      <c r="C17" s="7" t="s">
        <v>51</v>
      </c>
      <c r="D17" s="7" t="s">
        <v>62</v>
      </c>
      <c r="E17" s="7" t="s">
        <v>63</v>
      </c>
      <c r="F17" s="8" t="s">
        <v>69</v>
      </c>
      <c r="G17" s="7">
        <v>76</v>
      </c>
      <c r="H17" s="31" t="str">
        <f t="shared" si="0"/>
        <v>Жилой комплекс Лазурный квартал, Сарайшык 5Д - 76</v>
      </c>
      <c r="I17" s="10">
        <v>1</v>
      </c>
      <c r="J17" s="11">
        <v>20120203</v>
      </c>
      <c r="K17" s="11"/>
      <c r="L17" s="12">
        <v>16563935.950000007</v>
      </c>
      <c r="M17" s="12">
        <f t="shared" si="1"/>
        <v>16563935.950000007</v>
      </c>
      <c r="N17" s="10">
        <v>2</v>
      </c>
      <c r="O17" s="10">
        <v>68.599999999999994</v>
      </c>
      <c r="P17" s="10">
        <v>39.9</v>
      </c>
      <c r="Q17" s="10"/>
      <c r="R17" s="10"/>
      <c r="S17" s="10"/>
      <c r="T17" s="10"/>
      <c r="U17" s="22" t="s">
        <v>77</v>
      </c>
      <c r="V17" s="14" t="s">
        <v>56</v>
      </c>
      <c r="W17" s="7"/>
      <c r="X17" s="15"/>
      <c r="Y17" s="15"/>
      <c r="Z17" s="15">
        <v>19.3</v>
      </c>
      <c r="AA17" s="15" t="s">
        <v>57</v>
      </c>
      <c r="AB17" s="15">
        <f t="shared" si="2"/>
        <v>1.5</v>
      </c>
      <c r="AC17" s="16">
        <f t="shared" si="3"/>
        <v>28.950000000000003</v>
      </c>
      <c r="AD17" s="12">
        <f t="shared" si="4"/>
        <v>1985.97</v>
      </c>
      <c r="AE17" s="12">
        <v>18995.34</v>
      </c>
      <c r="AF17" s="12">
        <f t="shared" si="5"/>
        <v>16563935.950000007</v>
      </c>
      <c r="AG17" s="12">
        <f t="shared" si="6"/>
        <v>16544940.610000007</v>
      </c>
      <c r="AH17" s="12">
        <f t="shared" si="7"/>
        <v>16525945.270000007</v>
      </c>
      <c r="AI17" s="12">
        <f t="shared" si="8"/>
        <v>16506949.930000007</v>
      </c>
      <c r="AJ17" s="12">
        <f t="shared" si="9"/>
        <v>16487954.590000007</v>
      </c>
      <c r="AK17" s="12">
        <f t="shared" si="15"/>
        <v>16468959.250000007</v>
      </c>
      <c r="AL17" s="12">
        <f t="shared" si="15"/>
        <v>16449963.910000008</v>
      </c>
      <c r="AM17" s="12">
        <f t="shared" si="15"/>
        <v>16430968.570000008</v>
      </c>
      <c r="AN17" s="12">
        <f t="shared" si="15"/>
        <v>16411973.230000008</v>
      </c>
      <c r="AO17" s="12">
        <f t="shared" si="15"/>
        <v>16392977.890000008</v>
      </c>
      <c r="AP17" s="12">
        <f t="shared" si="15"/>
        <v>16373982.550000008</v>
      </c>
      <c r="AQ17" s="12">
        <f t="shared" si="15"/>
        <v>16354987.210000008</v>
      </c>
      <c r="AR17" s="17">
        <f t="shared" si="15"/>
        <v>16335991.870000008</v>
      </c>
      <c r="AS17" s="12">
        <f t="shared" si="16"/>
        <v>246749.46</v>
      </c>
      <c r="AT17" s="12">
        <f t="shared" si="11"/>
        <v>248735.43</v>
      </c>
      <c r="AU17" s="12">
        <f t="shared" si="12"/>
        <v>18995.34</v>
      </c>
      <c r="AV17" s="18">
        <f t="shared" si="13"/>
        <v>20727.95</v>
      </c>
      <c r="AW17" s="17">
        <f t="shared" si="14"/>
        <v>18995.34</v>
      </c>
      <c r="AX17" s="12"/>
      <c r="AY17" s="12"/>
      <c r="AZ17" s="19"/>
      <c r="BA17" s="20"/>
      <c r="BB17" s="20"/>
      <c r="BC17" s="20"/>
      <c r="BD17" s="20"/>
    </row>
    <row r="18" spans="1:56" s="21" customFormat="1" ht="36" x14ac:dyDescent="0.25">
      <c r="A18" s="7"/>
      <c r="B18" s="7">
        <v>17</v>
      </c>
      <c r="C18" s="7" t="s">
        <v>51</v>
      </c>
      <c r="D18" s="7" t="s">
        <v>62</v>
      </c>
      <c r="E18" s="7" t="s">
        <v>63</v>
      </c>
      <c r="F18" s="8" t="s">
        <v>69</v>
      </c>
      <c r="G18" s="7">
        <v>95</v>
      </c>
      <c r="H18" s="9" t="str">
        <f t="shared" si="0"/>
        <v>Жилой комплекс Лазурный квартал, Сарайшык 5Д - 95</v>
      </c>
      <c r="I18" s="10">
        <v>1</v>
      </c>
      <c r="J18" s="11">
        <v>19840022</v>
      </c>
      <c r="K18" s="11"/>
      <c r="L18" s="12">
        <v>16333277.579999987</v>
      </c>
      <c r="M18" s="12">
        <f t="shared" si="1"/>
        <v>16333277.579999987</v>
      </c>
      <c r="N18" s="10">
        <v>2</v>
      </c>
      <c r="O18" s="10">
        <v>69.099999999999994</v>
      </c>
      <c r="P18" s="10">
        <v>39.799999999999997</v>
      </c>
      <c r="Q18" s="10"/>
      <c r="R18" s="10"/>
      <c r="S18" s="10"/>
      <c r="T18" s="10"/>
      <c r="U18" s="9" t="s">
        <v>78</v>
      </c>
      <c r="V18" s="14" t="s">
        <v>56</v>
      </c>
      <c r="W18" s="7"/>
      <c r="X18" s="15"/>
      <c r="Y18" s="15"/>
      <c r="Z18" s="15">
        <v>19.3</v>
      </c>
      <c r="AA18" s="15" t="s">
        <v>57</v>
      </c>
      <c r="AB18" s="15">
        <f t="shared" si="2"/>
        <v>1.5</v>
      </c>
      <c r="AC18" s="16">
        <f t="shared" si="3"/>
        <v>28.950000000000003</v>
      </c>
      <c r="AD18" s="12">
        <f t="shared" si="4"/>
        <v>2000.45</v>
      </c>
      <c r="AE18" s="12">
        <v>18730.82</v>
      </c>
      <c r="AF18" s="12">
        <f t="shared" si="5"/>
        <v>16333277.579999987</v>
      </c>
      <c r="AG18" s="12">
        <f t="shared" si="6"/>
        <v>16314546.759999987</v>
      </c>
      <c r="AH18" s="12">
        <f t="shared" si="7"/>
        <v>16295815.939999986</v>
      </c>
      <c r="AI18" s="12">
        <f t="shared" si="8"/>
        <v>16277085.119999986</v>
      </c>
      <c r="AJ18" s="12">
        <f t="shared" si="9"/>
        <v>16258354.299999986</v>
      </c>
      <c r="AK18" s="12">
        <f t="shared" si="15"/>
        <v>16239623.479999986</v>
      </c>
      <c r="AL18" s="12">
        <f t="shared" si="15"/>
        <v>16220892.659999985</v>
      </c>
      <c r="AM18" s="12">
        <f t="shared" si="15"/>
        <v>16202161.839999985</v>
      </c>
      <c r="AN18" s="12">
        <f t="shared" si="15"/>
        <v>16183431.019999985</v>
      </c>
      <c r="AO18" s="12">
        <f t="shared" si="15"/>
        <v>16164700.199999984</v>
      </c>
      <c r="AP18" s="12">
        <f t="shared" si="15"/>
        <v>16145969.379999984</v>
      </c>
      <c r="AQ18" s="12">
        <f t="shared" si="15"/>
        <v>16127238.559999984</v>
      </c>
      <c r="AR18" s="17">
        <f t="shared" si="15"/>
        <v>16108507.739999983</v>
      </c>
      <c r="AS18" s="12">
        <f t="shared" si="16"/>
        <v>243313.39</v>
      </c>
      <c r="AT18" s="12">
        <f t="shared" si="11"/>
        <v>245313.84000000003</v>
      </c>
      <c r="AU18" s="12">
        <f t="shared" si="12"/>
        <v>18730.82</v>
      </c>
      <c r="AV18" s="18">
        <f t="shared" si="13"/>
        <v>20442.82</v>
      </c>
      <c r="AW18" s="17">
        <f t="shared" si="14"/>
        <v>18730.82</v>
      </c>
      <c r="AX18" s="12"/>
      <c r="AY18" s="12"/>
      <c r="AZ18" s="19"/>
      <c r="BA18" s="32"/>
      <c r="BB18" s="20"/>
      <c r="BC18" s="20"/>
      <c r="BD18" s="20"/>
    </row>
    <row r="19" spans="1:56" s="21" customFormat="1" ht="36" x14ac:dyDescent="0.25">
      <c r="A19" s="7"/>
      <c r="B19" s="7">
        <v>18</v>
      </c>
      <c r="C19" s="7" t="s">
        <v>58</v>
      </c>
      <c r="D19" s="7" t="s">
        <v>79</v>
      </c>
      <c r="E19" s="7" t="s">
        <v>80</v>
      </c>
      <c r="F19" s="8" t="s">
        <v>81</v>
      </c>
      <c r="G19" s="7">
        <v>265</v>
      </c>
      <c r="H19" s="9" t="str">
        <f t="shared" si="0"/>
        <v>Жилой комплекс Сармат-2, Сауран 3/1 - 265</v>
      </c>
      <c r="I19" s="10">
        <v>1</v>
      </c>
      <c r="J19" s="11">
        <v>24871739</v>
      </c>
      <c r="K19" s="11"/>
      <c r="L19" s="12">
        <v>20475632.819999978</v>
      </c>
      <c r="M19" s="12">
        <f t="shared" si="1"/>
        <v>20475632.819999978</v>
      </c>
      <c r="N19" s="10">
        <v>3</v>
      </c>
      <c r="O19" s="10">
        <v>86.5</v>
      </c>
      <c r="P19" s="33">
        <v>46</v>
      </c>
      <c r="Q19" s="10"/>
      <c r="R19" s="10"/>
      <c r="S19" s="10"/>
      <c r="T19" s="10"/>
      <c r="U19" s="13" t="s">
        <v>82</v>
      </c>
      <c r="V19" s="14" t="s">
        <v>56</v>
      </c>
      <c r="W19" s="7"/>
      <c r="X19" s="15"/>
      <c r="Y19" s="15"/>
      <c r="Z19" s="15">
        <v>19.3</v>
      </c>
      <c r="AA19" s="15" t="s">
        <v>57</v>
      </c>
      <c r="AB19" s="15">
        <f t="shared" si="2"/>
        <v>1.5</v>
      </c>
      <c r="AC19" s="16">
        <f t="shared" si="3"/>
        <v>28.950000000000003</v>
      </c>
      <c r="AD19" s="12">
        <f t="shared" si="4"/>
        <v>2504.1799999999998</v>
      </c>
      <c r="AE19" s="12">
        <v>23481.23</v>
      </c>
      <c r="AF19" s="12">
        <f t="shared" si="5"/>
        <v>20475632.819999978</v>
      </c>
      <c r="AG19" s="12">
        <f t="shared" si="6"/>
        <v>20452151.589999977</v>
      </c>
      <c r="AH19" s="12">
        <f t="shared" si="7"/>
        <v>20428670.359999977</v>
      </c>
      <c r="AI19" s="12">
        <f t="shared" si="8"/>
        <v>20405189.129999977</v>
      </c>
      <c r="AJ19" s="12">
        <f t="shared" si="9"/>
        <v>20381707.899999976</v>
      </c>
      <c r="AK19" s="12">
        <f t="shared" ref="AK19:AR34" si="17">AJ19-$AE19</f>
        <v>20358226.669999976</v>
      </c>
      <c r="AL19" s="12">
        <f t="shared" si="17"/>
        <v>20334745.439999975</v>
      </c>
      <c r="AM19" s="12">
        <f t="shared" si="17"/>
        <v>20311264.209999975</v>
      </c>
      <c r="AN19" s="12">
        <f t="shared" si="17"/>
        <v>20287782.979999974</v>
      </c>
      <c r="AO19" s="12">
        <f t="shared" si="17"/>
        <v>20264301.749999974</v>
      </c>
      <c r="AP19" s="12">
        <f t="shared" si="17"/>
        <v>20240820.519999973</v>
      </c>
      <c r="AQ19" s="12">
        <f t="shared" si="17"/>
        <v>20217339.289999973</v>
      </c>
      <c r="AR19" s="17">
        <f t="shared" si="17"/>
        <v>20193858.059999973</v>
      </c>
      <c r="AS19" s="12">
        <f t="shared" si="16"/>
        <v>305021.18</v>
      </c>
      <c r="AT19" s="12">
        <f t="shared" si="11"/>
        <v>307525.36</v>
      </c>
      <c r="AU19" s="12">
        <f t="shared" si="12"/>
        <v>23481.23</v>
      </c>
      <c r="AV19" s="18">
        <f t="shared" si="13"/>
        <v>25627.11</v>
      </c>
      <c r="AW19" s="17">
        <f t="shared" si="14"/>
        <v>23481.23</v>
      </c>
      <c r="AX19" s="12"/>
      <c r="AY19" s="12"/>
      <c r="AZ19" s="19"/>
      <c r="BA19" s="20"/>
      <c r="BB19" s="20"/>
      <c r="BC19" s="20"/>
      <c r="BD19" s="20"/>
    </row>
    <row r="20" spans="1:56" s="21" customFormat="1" ht="36" x14ac:dyDescent="0.25">
      <c r="A20" s="7"/>
      <c r="B20" s="7">
        <v>20</v>
      </c>
      <c r="C20" s="7" t="s">
        <v>51</v>
      </c>
      <c r="D20" s="7" t="s">
        <v>79</v>
      </c>
      <c r="E20" s="7" t="s">
        <v>80</v>
      </c>
      <c r="F20" s="8" t="s">
        <v>81</v>
      </c>
      <c r="G20" s="7">
        <v>309</v>
      </c>
      <c r="H20" s="9" t="str">
        <f t="shared" si="0"/>
        <v>Жилой комплекс Сармат-2, Сауран 3/1 - 309</v>
      </c>
      <c r="I20" s="10">
        <v>1</v>
      </c>
      <c r="J20" s="11">
        <v>16942578</v>
      </c>
      <c r="K20" s="11"/>
      <c r="L20" s="12">
        <v>13947959.190000039</v>
      </c>
      <c r="M20" s="12">
        <f t="shared" si="1"/>
        <v>13947959.190000039</v>
      </c>
      <c r="N20" s="10">
        <v>2</v>
      </c>
      <c r="O20" s="33">
        <v>60</v>
      </c>
      <c r="P20" s="10">
        <v>31.2</v>
      </c>
      <c r="Q20" s="10"/>
      <c r="R20" s="10"/>
      <c r="S20" s="10"/>
      <c r="T20" s="10"/>
      <c r="U20" s="13" t="s">
        <v>83</v>
      </c>
      <c r="V20" s="14" t="s">
        <v>56</v>
      </c>
      <c r="W20" s="7"/>
      <c r="X20" s="15"/>
      <c r="Y20" s="15"/>
      <c r="Z20" s="15">
        <v>19.3</v>
      </c>
      <c r="AA20" s="15" t="s">
        <v>57</v>
      </c>
      <c r="AB20" s="15">
        <f t="shared" si="2"/>
        <v>1.5</v>
      </c>
      <c r="AC20" s="16">
        <f t="shared" si="3"/>
        <v>28.950000000000003</v>
      </c>
      <c r="AD20" s="12">
        <f t="shared" si="4"/>
        <v>1737</v>
      </c>
      <c r="AE20" s="12">
        <v>15995.37</v>
      </c>
      <c r="AF20" s="12">
        <f t="shared" si="5"/>
        <v>13947959.190000039</v>
      </c>
      <c r="AG20" s="12">
        <f t="shared" si="6"/>
        <v>13931963.820000039</v>
      </c>
      <c r="AH20" s="12">
        <f t="shared" si="7"/>
        <v>13915968.45000004</v>
      </c>
      <c r="AI20" s="12">
        <f t="shared" si="8"/>
        <v>13899973.080000041</v>
      </c>
      <c r="AJ20" s="12">
        <f t="shared" si="9"/>
        <v>13883977.710000042</v>
      </c>
      <c r="AK20" s="12">
        <f t="shared" si="17"/>
        <v>13867982.340000043</v>
      </c>
      <c r="AL20" s="12">
        <f t="shared" si="17"/>
        <v>13851986.970000044</v>
      </c>
      <c r="AM20" s="12">
        <f t="shared" si="17"/>
        <v>13835991.600000044</v>
      </c>
      <c r="AN20" s="12">
        <f t="shared" si="17"/>
        <v>13819996.230000045</v>
      </c>
      <c r="AO20" s="12">
        <f t="shared" si="17"/>
        <v>13804000.860000046</v>
      </c>
      <c r="AP20" s="12">
        <f t="shared" si="17"/>
        <v>13788005.490000047</v>
      </c>
      <c r="AQ20" s="12">
        <f t="shared" si="17"/>
        <v>13772010.120000048</v>
      </c>
      <c r="AR20" s="17">
        <f t="shared" si="17"/>
        <v>13756014.750000048</v>
      </c>
      <c r="AS20" s="12">
        <f t="shared" si="16"/>
        <v>207779.8</v>
      </c>
      <c r="AT20" s="12">
        <f t="shared" si="11"/>
        <v>209516.79999999999</v>
      </c>
      <c r="AU20" s="12">
        <f t="shared" si="12"/>
        <v>15995.37</v>
      </c>
      <c r="AV20" s="18">
        <f t="shared" si="13"/>
        <v>17459.73</v>
      </c>
      <c r="AW20" s="17">
        <f t="shared" si="14"/>
        <v>15995.37</v>
      </c>
      <c r="AX20" s="12"/>
      <c r="AY20" s="12"/>
      <c r="AZ20" s="19"/>
      <c r="BA20" s="20"/>
      <c r="BB20" s="20"/>
      <c r="BC20" s="20"/>
      <c r="BD20" s="20"/>
    </row>
    <row r="21" spans="1:56" s="21" customFormat="1" ht="36" x14ac:dyDescent="0.25">
      <c r="A21" s="7"/>
      <c r="B21" s="7">
        <v>21</v>
      </c>
      <c r="C21" s="7" t="s">
        <v>58</v>
      </c>
      <c r="D21" s="7" t="s">
        <v>79</v>
      </c>
      <c r="E21" s="7" t="s">
        <v>80</v>
      </c>
      <c r="F21" s="8" t="s">
        <v>81</v>
      </c>
      <c r="G21" s="7">
        <v>359</v>
      </c>
      <c r="H21" s="9" t="str">
        <f t="shared" si="0"/>
        <v>Жилой комплекс Сармат-2, Сауран 3/1 - 359</v>
      </c>
      <c r="I21" s="10">
        <v>1</v>
      </c>
      <c r="J21" s="11">
        <v>23602508</v>
      </c>
      <c r="K21" s="11"/>
      <c r="L21" s="12">
        <v>19430739.909999955</v>
      </c>
      <c r="M21" s="12">
        <f t="shared" si="1"/>
        <v>19430739.909999955</v>
      </c>
      <c r="N21" s="10">
        <v>3</v>
      </c>
      <c r="O21" s="10">
        <v>84.3</v>
      </c>
      <c r="P21" s="10">
        <v>45.8</v>
      </c>
      <c r="Q21" s="10"/>
      <c r="R21" s="10"/>
      <c r="S21" s="10"/>
      <c r="T21" s="10"/>
      <c r="U21" s="13" t="s">
        <v>84</v>
      </c>
      <c r="V21" s="14" t="s">
        <v>56</v>
      </c>
      <c r="W21" s="7"/>
      <c r="X21" s="15"/>
      <c r="Y21" s="15"/>
      <c r="Z21" s="15">
        <v>19.3</v>
      </c>
      <c r="AA21" s="15" t="s">
        <v>57</v>
      </c>
      <c r="AB21" s="15">
        <f t="shared" si="2"/>
        <v>1.5</v>
      </c>
      <c r="AC21" s="16">
        <f t="shared" si="3"/>
        <v>28.950000000000003</v>
      </c>
      <c r="AD21" s="12">
        <f t="shared" si="4"/>
        <v>2440.4899999999998</v>
      </c>
      <c r="AE21" s="12">
        <v>22282.959999999999</v>
      </c>
      <c r="AF21" s="12">
        <f t="shared" si="5"/>
        <v>19430739.909999955</v>
      </c>
      <c r="AG21" s="12">
        <f t="shared" si="6"/>
        <v>19408456.949999955</v>
      </c>
      <c r="AH21" s="12">
        <f t="shared" si="7"/>
        <v>19386173.989999954</v>
      </c>
      <c r="AI21" s="12">
        <f t="shared" si="8"/>
        <v>19363891.029999953</v>
      </c>
      <c r="AJ21" s="12">
        <f t="shared" si="9"/>
        <v>19341608.069999952</v>
      </c>
      <c r="AK21" s="12">
        <f t="shared" si="17"/>
        <v>19319325.109999951</v>
      </c>
      <c r="AL21" s="12">
        <f t="shared" si="17"/>
        <v>19297042.14999995</v>
      </c>
      <c r="AM21" s="12">
        <f t="shared" si="17"/>
        <v>19274759.189999949</v>
      </c>
      <c r="AN21" s="12">
        <f t="shared" si="17"/>
        <v>19252476.229999948</v>
      </c>
      <c r="AO21" s="12">
        <f t="shared" si="17"/>
        <v>19230193.269999947</v>
      </c>
      <c r="AP21" s="12">
        <f t="shared" si="17"/>
        <v>19207910.309999947</v>
      </c>
      <c r="AQ21" s="12">
        <f t="shared" si="17"/>
        <v>19185627.349999946</v>
      </c>
      <c r="AR21" s="17">
        <f t="shared" si="17"/>
        <v>19163344.389999945</v>
      </c>
      <c r="AS21" s="12">
        <f t="shared" si="16"/>
        <v>289455.63</v>
      </c>
      <c r="AT21" s="12">
        <f t="shared" si="11"/>
        <v>291896.12</v>
      </c>
      <c r="AU21" s="12">
        <f t="shared" si="12"/>
        <v>22282.959999999999</v>
      </c>
      <c r="AV21" s="18">
        <f t="shared" si="13"/>
        <v>24324.68</v>
      </c>
      <c r="AW21" s="17">
        <f t="shared" si="14"/>
        <v>22282.959999999999</v>
      </c>
      <c r="AX21" s="12"/>
      <c r="AY21" s="12"/>
      <c r="AZ21" s="19"/>
      <c r="BA21" s="20"/>
      <c r="BB21" s="20"/>
      <c r="BC21" s="20"/>
      <c r="BD21" s="20"/>
    </row>
    <row r="22" spans="1:56" s="21" customFormat="1" ht="36" x14ac:dyDescent="0.25">
      <c r="A22" s="7"/>
      <c r="B22" s="7">
        <v>23</v>
      </c>
      <c r="C22" s="7" t="s">
        <v>51</v>
      </c>
      <c r="D22" s="7" t="s">
        <v>79</v>
      </c>
      <c r="E22" s="7" t="s">
        <v>80</v>
      </c>
      <c r="F22" s="8" t="s">
        <v>81</v>
      </c>
      <c r="G22" s="7">
        <v>454</v>
      </c>
      <c r="H22" s="9" t="str">
        <f t="shared" si="0"/>
        <v>Жилой комплекс Сармат-2, Сауран 3/1 - 454</v>
      </c>
      <c r="I22" s="10">
        <v>1</v>
      </c>
      <c r="J22" s="11">
        <v>17473343</v>
      </c>
      <c r="K22" s="11"/>
      <c r="L22" s="12">
        <v>14384910.919999968</v>
      </c>
      <c r="M22" s="12">
        <f t="shared" si="1"/>
        <v>14384910.919999968</v>
      </c>
      <c r="N22" s="10">
        <v>2</v>
      </c>
      <c r="O22" s="10">
        <v>61.8</v>
      </c>
      <c r="P22" s="10">
        <v>31.5</v>
      </c>
      <c r="Q22" s="10"/>
      <c r="R22" s="10"/>
      <c r="S22" s="10"/>
      <c r="T22" s="10"/>
      <c r="U22" s="13" t="s">
        <v>85</v>
      </c>
      <c r="V22" s="14" t="s">
        <v>56</v>
      </c>
      <c r="W22" s="7"/>
      <c r="X22" s="15"/>
      <c r="Y22" s="15"/>
      <c r="Z22" s="15">
        <v>19.3</v>
      </c>
      <c r="AA22" s="15" t="s">
        <v>57</v>
      </c>
      <c r="AB22" s="15">
        <f t="shared" si="2"/>
        <v>1.5</v>
      </c>
      <c r="AC22" s="16">
        <f t="shared" si="3"/>
        <v>28.950000000000003</v>
      </c>
      <c r="AD22" s="12">
        <f t="shared" si="4"/>
        <v>1789.11</v>
      </c>
      <c r="AE22" s="12">
        <v>16496.46</v>
      </c>
      <c r="AF22" s="12">
        <f t="shared" si="5"/>
        <v>14384910.919999968</v>
      </c>
      <c r="AG22" s="12">
        <f t="shared" si="6"/>
        <v>14368414.459999967</v>
      </c>
      <c r="AH22" s="12">
        <f t="shared" si="7"/>
        <v>14351917.999999966</v>
      </c>
      <c r="AI22" s="12">
        <f t="shared" si="8"/>
        <v>14335421.539999966</v>
      </c>
      <c r="AJ22" s="12">
        <f t="shared" si="9"/>
        <v>14318925.079999965</v>
      </c>
      <c r="AK22" s="12">
        <f t="shared" si="17"/>
        <v>14302428.619999964</v>
      </c>
      <c r="AL22" s="12">
        <f t="shared" si="17"/>
        <v>14285932.159999963</v>
      </c>
      <c r="AM22" s="12">
        <f t="shared" si="17"/>
        <v>14269435.699999962</v>
      </c>
      <c r="AN22" s="12">
        <f t="shared" si="17"/>
        <v>14252939.239999961</v>
      </c>
      <c r="AO22" s="12">
        <f t="shared" si="17"/>
        <v>14236442.77999996</v>
      </c>
      <c r="AP22" s="12">
        <f t="shared" si="17"/>
        <v>14219946.319999959</v>
      </c>
      <c r="AQ22" s="12">
        <f t="shared" si="17"/>
        <v>14203449.859999958</v>
      </c>
      <c r="AR22" s="17">
        <f t="shared" si="17"/>
        <v>14186953.399999958</v>
      </c>
      <c r="AS22" s="12">
        <f t="shared" si="16"/>
        <v>214288.98</v>
      </c>
      <c r="AT22" s="12">
        <f t="shared" si="11"/>
        <v>216078.09</v>
      </c>
      <c r="AU22" s="12">
        <f t="shared" si="12"/>
        <v>16496.46</v>
      </c>
      <c r="AV22" s="18">
        <f t="shared" si="13"/>
        <v>18006.509999999998</v>
      </c>
      <c r="AW22" s="17">
        <f t="shared" si="14"/>
        <v>16496.46</v>
      </c>
      <c r="AX22" s="12"/>
      <c r="AY22" s="12"/>
      <c r="AZ22" s="19"/>
      <c r="BA22" s="20"/>
      <c r="BB22" s="20"/>
      <c r="BC22" s="20"/>
      <c r="BD22" s="20"/>
    </row>
    <row r="23" spans="1:56" s="21" customFormat="1" ht="36" x14ac:dyDescent="0.25">
      <c r="A23" s="7"/>
      <c r="B23" s="7">
        <v>24</v>
      </c>
      <c r="C23" s="7" t="s">
        <v>58</v>
      </c>
      <c r="D23" s="7" t="s">
        <v>86</v>
      </c>
      <c r="E23" s="7" t="s">
        <v>87</v>
      </c>
      <c r="F23" s="34">
        <v>7</v>
      </c>
      <c r="G23" s="7">
        <v>6</v>
      </c>
      <c r="H23" s="9" t="str">
        <f t="shared" si="0"/>
        <v>Жилой комплекс Хан-тенгри, Сембинова 7 - 6</v>
      </c>
      <c r="I23" s="10">
        <v>1</v>
      </c>
      <c r="J23" s="11">
        <v>21095055</v>
      </c>
      <c r="K23" s="11"/>
      <c r="L23" s="12">
        <v>18918793.34000003</v>
      </c>
      <c r="M23" s="12">
        <f t="shared" si="1"/>
        <v>18918793.34000003</v>
      </c>
      <c r="N23" s="10">
        <v>3</v>
      </c>
      <c r="O23" s="10">
        <v>100.8</v>
      </c>
      <c r="P23" s="10">
        <v>61.6</v>
      </c>
      <c r="Q23" s="10"/>
      <c r="R23" s="10"/>
      <c r="S23" s="10"/>
      <c r="T23" s="10"/>
      <c r="U23" s="13" t="s">
        <v>88</v>
      </c>
      <c r="V23" s="14" t="s">
        <v>56</v>
      </c>
      <c r="W23" s="7"/>
      <c r="X23" s="15"/>
      <c r="Y23" s="15"/>
      <c r="Z23" s="15">
        <v>19.3</v>
      </c>
      <c r="AA23" s="15" t="s">
        <v>89</v>
      </c>
      <c r="AB23" s="15">
        <f t="shared" si="2"/>
        <v>1.4</v>
      </c>
      <c r="AC23" s="16">
        <f t="shared" si="3"/>
        <v>27.02</v>
      </c>
      <c r="AD23" s="12">
        <f t="shared" si="4"/>
        <v>2723.62</v>
      </c>
      <c r="AE23" s="12">
        <v>21695.86</v>
      </c>
      <c r="AF23" s="12">
        <f t="shared" si="5"/>
        <v>18918793.34000003</v>
      </c>
      <c r="AG23" s="12">
        <f t="shared" si="6"/>
        <v>18897097.48000003</v>
      </c>
      <c r="AH23" s="12">
        <f t="shared" si="7"/>
        <v>18875401.620000031</v>
      </c>
      <c r="AI23" s="12">
        <f t="shared" si="8"/>
        <v>18853705.760000031</v>
      </c>
      <c r="AJ23" s="12">
        <f t="shared" si="9"/>
        <v>18832009.900000032</v>
      </c>
      <c r="AK23" s="12">
        <f t="shared" si="17"/>
        <v>18810314.040000033</v>
      </c>
      <c r="AL23" s="12">
        <f t="shared" si="17"/>
        <v>18788618.180000033</v>
      </c>
      <c r="AM23" s="12">
        <f t="shared" si="17"/>
        <v>18766922.320000034</v>
      </c>
      <c r="AN23" s="12">
        <f t="shared" si="17"/>
        <v>18745226.460000034</v>
      </c>
      <c r="AO23" s="12">
        <f t="shared" si="17"/>
        <v>18723530.600000035</v>
      </c>
      <c r="AP23" s="12">
        <f t="shared" si="17"/>
        <v>18701834.740000036</v>
      </c>
      <c r="AQ23" s="12">
        <f t="shared" si="17"/>
        <v>18680138.880000036</v>
      </c>
      <c r="AR23" s="17">
        <f t="shared" si="17"/>
        <v>18658443.020000037</v>
      </c>
      <c r="AS23" s="12">
        <f t="shared" si="16"/>
        <v>281829.27</v>
      </c>
      <c r="AT23" s="12">
        <f t="shared" si="11"/>
        <v>284552.89</v>
      </c>
      <c r="AU23" s="12">
        <f t="shared" si="12"/>
        <v>21695.86</v>
      </c>
      <c r="AV23" s="18">
        <f t="shared" si="13"/>
        <v>23712.74</v>
      </c>
      <c r="AW23" s="17">
        <f t="shared" si="14"/>
        <v>21695.86</v>
      </c>
      <c r="AX23" s="12"/>
      <c r="AY23" s="12"/>
      <c r="AZ23" s="19"/>
      <c r="BA23" s="20"/>
      <c r="BB23" s="20"/>
      <c r="BC23" s="20"/>
      <c r="BD23" s="20"/>
    </row>
    <row r="24" spans="1:56" s="21" customFormat="1" ht="36" x14ac:dyDescent="0.25">
      <c r="A24" s="7"/>
      <c r="B24" s="7">
        <v>26</v>
      </c>
      <c r="C24" s="7" t="s">
        <v>51</v>
      </c>
      <c r="D24" s="7" t="s">
        <v>90</v>
      </c>
      <c r="E24" s="7" t="s">
        <v>91</v>
      </c>
      <c r="F24" s="34">
        <v>2</v>
      </c>
      <c r="G24" s="7">
        <v>9</v>
      </c>
      <c r="H24" s="9" t="str">
        <f t="shared" si="0"/>
        <v>Жилой комплекс Виктория, Б. Момышулы 2 - 9</v>
      </c>
      <c r="I24" s="10">
        <v>1</v>
      </c>
      <c r="J24" s="11">
        <v>22718121</v>
      </c>
      <c r="K24" s="11"/>
      <c r="L24" s="12">
        <v>20374415.889999997</v>
      </c>
      <c r="M24" s="12">
        <f t="shared" si="1"/>
        <v>20374415.889999997</v>
      </c>
      <c r="N24" s="10">
        <v>2</v>
      </c>
      <c r="O24" s="10">
        <v>93.1</v>
      </c>
      <c r="P24" s="10">
        <v>31.6</v>
      </c>
      <c r="Q24" s="10"/>
      <c r="R24" s="10"/>
      <c r="S24" s="10"/>
      <c r="T24" s="10"/>
      <c r="U24" s="13" t="s">
        <v>92</v>
      </c>
      <c r="V24" s="14" t="s">
        <v>56</v>
      </c>
      <c r="W24" s="7"/>
      <c r="X24" s="7"/>
      <c r="Y24" s="15"/>
      <c r="Z24" s="15">
        <v>19.3</v>
      </c>
      <c r="AA24" s="15" t="s">
        <v>57</v>
      </c>
      <c r="AB24" s="15">
        <f t="shared" si="2"/>
        <v>1.5</v>
      </c>
      <c r="AC24" s="16">
        <f t="shared" si="3"/>
        <v>28.950000000000003</v>
      </c>
      <c r="AD24" s="12">
        <f t="shared" si="4"/>
        <v>2695.25</v>
      </c>
      <c r="AE24" s="12">
        <v>23365.16</v>
      </c>
      <c r="AF24" s="12">
        <f t="shared" si="5"/>
        <v>20374415.889999997</v>
      </c>
      <c r="AG24" s="12">
        <f t="shared" si="6"/>
        <v>20351050.729999997</v>
      </c>
      <c r="AH24" s="12">
        <f t="shared" si="7"/>
        <v>20327685.569999997</v>
      </c>
      <c r="AI24" s="12">
        <f t="shared" si="8"/>
        <v>20304320.409999996</v>
      </c>
      <c r="AJ24" s="12">
        <f t="shared" si="9"/>
        <v>20280955.249999996</v>
      </c>
      <c r="AK24" s="12">
        <f t="shared" si="17"/>
        <v>20257590.089999996</v>
      </c>
      <c r="AL24" s="12">
        <f t="shared" si="17"/>
        <v>20234224.929999996</v>
      </c>
      <c r="AM24" s="12">
        <f t="shared" si="17"/>
        <v>20210859.769999996</v>
      </c>
      <c r="AN24" s="12">
        <f t="shared" si="17"/>
        <v>20187494.609999996</v>
      </c>
      <c r="AO24" s="12">
        <f t="shared" si="17"/>
        <v>20164129.449999996</v>
      </c>
      <c r="AP24" s="12">
        <f t="shared" si="17"/>
        <v>20140764.289999995</v>
      </c>
      <c r="AQ24" s="12">
        <f t="shared" si="17"/>
        <v>20117399.129999995</v>
      </c>
      <c r="AR24" s="17">
        <f t="shared" si="17"/>
        <v>20094033.969999995</v>
      </c>
      <c r="AS24" s="12">
        <f t="shared" si="16"/>
        <v>303513.37</v>
      </c>
      <c r="AT24" s="12">
        <f t="shared" si="11"/>
        <v>306208.62</v>
      </c>
      <c r="AU24" s="12">
        <f t="shared" si="12"/>
        <v>23365.16</v>
      </c>
      <c r="AV24" s="18">
        <f t="shared" si="13"/>
        <v>25517.39</v>
      </c>
      <c r="AW24" s="17">
        <f t="shared" si="14"/>
        <v>23365.16</v>
      </c>
      <c r="AX24" s="12"/>
      <c r="AY24" s="12"/>
      <c r="AZ24" s="19"/>
      <c r="BA24" s="20"/>
      <c r="BB24" s="20"/>
      <c r="BC24" s="20"/>
      <c r="BD24" s="20"/>
    </row>
    <row r="25" spans="1:56" s="21" customFormat="1" ht="36" x14ac:dyDescent="0.25">
      <c r="A25" s="7"/>
      <c r="B25" s="7">
        <v>27</v>
      </c>
      <c r="C25" s="7" t="s">
        <v>51</v>
      </c>
      <c r="D25" s="7" t="s">
        <v>90</v>
      </c>
      <c r="E25" s="7" t="s">
        <v>91</v>
      </c>
      <c r="F25" s="34">
        <v>2</v>
      </c>
      <c r="G25" s="7">
        <v>119</v>
      </c>
      <c r="H25" s="9" t="str">
        <f t="shared" si="0"/>
        <v>Жилой комплекс Виктория, Б. Момышулы 2 - 119</v>
      </c>
      <c r="I25" s="10">
        <v>1</v>
      </c>
      <c r="J25" s="11">
        <v>21742047</v>
      </c>
      <c r="K25" s="11"/>
      <c r="L25" s="12">
        <v>19499038.619999941</v>
      </c>
      <c r="M25" s="12">
        <f t="shared" si="1"/>
        <v>19499038.619999941</v>
      </c>
      <c r="N25" s="10">
        <v>2</v>
      </c>
      <c r="O25" s="10">
        <v>89.1</v>
      </c>
      <c r="P25" s="10">
        <v>56.7</v>
      </c>
      <c r="Q25" s="10"/>
      <c r="R25" s="10"/>
      <c r="S25" s="10"/>
      <c r="T25" s="10"/>
      <c r="U25" s="13" t="s">
        <v>93</v>
      </c>
      <c r="V25" s="14" t="s">
        <v>56</v>
      </c>
      <c r="W25" s="7"/>
      <c r="X25" s="7"/>
      <c r="Y25" s="15"/>
      <c r="Z25" s="15">
        <v>19.3</v>
      </c>
      <c r="AA25" s="15" t="s">
        <v>57</v>
      </c>
      <c r="AB25" s="15">
        <f t="shared" si="2"/>
        <v>1.5</v>
      </c>
      <c r="AC25" s="16">
        <f t="shared" si="3"/>
        <v>28.950000000000003</v>
      </c>
      <c r="AD25" s="12">
        <f t="shared" si="4"/>
        <v>2579.4499999999998</v>
      </c>
      <c r="AE25" s="12">
        <v>22361.279999999999</v>
      </c>
      <c r="AF25" s="12">
        <f t="shared" si="5"/>
        <v>19499038.619999941</v>
      </c>
      <c r="AG25" s="12">
        <f t="shared" si="6"/>
        <v>19476677.33999994</v>
      </c>
      <c r="AH25" s="12">
        <f t="shared" si="7"/>
        <v>19454316.059999939</v>
      </c>
      <c r="AI25" s="12">
        <f t="shared" si="8"/>
        <v>19431954.779999938</v>
      </c>
      <c r="AJ25" s="12">
        <f t="shared" si="9"/>
        <v>19409593.499999937</v>
      </c>
      <c r="AK25" s="12">
        <f t="shared" si="17"/>
        <v>19387232.219999935</v>
      </c>
      <c r="AL25" s="12">
        <f t="shared" si="17"/>
        <v>19364870.939999934</v>
      </c>
      <c r="AM25" s="12">
        <f t="shared" si="17"/>
        <v>19342509.659999933</v>
      </c>
      <c r="AN25" s="12">
        <f t="shared" si="17"/>
        <v>19320148.379999932</v>
      </c>
      <c r="AO25" s="12">
        <f t="shared" si="17"/>
        <v>19297787.099999931</v>
      </c>
      <c r="AP25" s="12">
        <f t="shared" si="17"/>
        <v>19275425.81999993</v>
      </c>
      <c r="AQ25" s="12">
        <f t="shared" si="17"/>
        <v>19253064.539999928</v>
      </c>
      <c r="AR25" s="17">
        <f t="shared" si="17"/>
        <v>19230703.259999927</v>
      </c>
      <c r="AS25" s="12">
        <f t="shared" si="16"/>
        <v>290473.06</v>
      </c>
      <c r="AT25" s="12">
        <f t="shared" si="11"/>
        <v>293052.51</v>
      </c>
      <c r="AU25" s="12">
        <f t="shared" si="12"/>
        <v>22361.279999999999</v>
      </c>
      <c r="AV25" s="18">
        <f t="shared" si="13"/>
        <v>24421.040000000001</v>
      </c>
      <c r="AW25" s="17">
        <f t="shared" si="14"/>
        <v>22361.279999999999</v>
      </c>
      <c r="AX25" s="12"/>
      <c r="AY25" s="12"/>
      <c r="AZ25" s="19"/>
      <c r="BA25" s="20"/>
      <c r="BB25" s="20"/>
      <c r="BC25" s="20"/>
      <c r="BD25" s="20"/>
    </row>
    <row r="26" spans="1:56" s="21" customFormat="1" ht="36" x14ac:dyDescent="0.25">
      <c r="A26" s="7"/>
      <c r="B26" s="7">
        <v>28</v>
      </c>
      <c r="C26" s="7" t="s">
        <v>51</v>
      </c>
      <c r="D26" s="7" t="s">
        <v>90</v>
      </c>
      <c r="E26" s="7" t="s">
        <v>91</v>
      </c>
      <c r="F26" s="34">
        <v>2</v>
      </c>
      <c r="G26" s="7">
        <v>122</v>
      </c>
      <c r="H26" s="9" t="str">
        <f t="shared" si="0"/>
        <v>Жилой комплекс Виктория, Б. Момышулы 2 - 122</v>
      </c>
      <c r="I26" s="10">
        <v>1</v>
      </c>
      <c r="J26" s="11">
        <v>23157354</v>
      </c>
      <c r="K26" s="11"/>
      <c r="L26" s="12">
        <v>20768335.750000071</v>
      </c>
      <c r="M26" s="12">
        <f t="shared" si="1"/>
        <v>20768335.750000071</v>
      </c>
      <c r="N26" s="10">
        <v>2</v>
      </c>
      <c r="O26" s="10">
        <v>94.9</v>
      </c>
      <c r="P26" s="10">
        <v>50.1</v>
      </c>
      <c r="Q26" s="10"/>
      <c r="R26" s="10"/>
      <c r="S26" s="10"/>
      <c r="T26" s="10"/>
      <c r="U26" s="13" t="s">
        <v>94</v>
      </c>
      <c r="V26" s="14" t="s">
        <v>56</v>
      </c>
      <c r="W26" s="7"/>
      <c r="X26" s="7"/>
      <c r="Y26" s="15"/>
      <c r="Z26" s="15">
        <v>19.3</v>
      </c>
      <c r="AA26" s="15" t="s">
        <v>57</v>
      </c>
      <c r="AB26" s="15">
        <f t="shared" si="2"/>
        <v>1.5</v>
      </c>
      <c r="AC26" s="16">
        <f t="shared" si="3"/>
        <v>28.950000000000003</v>
      </c>
      <c r="AD26" s="12">
        <f t="shared" si="4"/>
        <v>2747.36</v>
      </c>
      <c r="AE26" s="12">
        <v>23816.9</v>
      </c>
      <c r="AF26" s="12">
        <f t="shared" si="5"/>
        <v>20768335.750000071</v>
      </c>
      <c r="AG26" s="12">
        <f t="shared" si="6"/>
        <v>20744518.850000072</v>
      </c>
      <c r="AH26" s="12">
        <f t="shared" si="7"/>
        <v>20720701.950000074</v>
      </c>
      <c r="AI26" s="12">
        <f t="shared" si="8"/>
        <v>20696885.050000075</v>
      </c>
      <c r="AJ26" s="12">
        <f t="shared" si="9"/>
        <v>20673068.150000077</v>
      </c>
      <c r="AK26" s="12">
        <f t="shared" si="17"/>
        <v>20649251.250000078</v>
      </c>
      <c r="AL26" s="12">
        <f t="shared" si="17"/>
        <v>20625434.35000008</v>
      </c>
      <c r="AM26" s="12">
        <f t="shared" si="17"/>
        <v>20601617.450000081</v>
      </c>
      <c r="AN26" s="12">
        <f t="shared" si="17"/>
        <v>20577800.550000083</v>
      </c>
      <c r="AO26" s="12">
        <f t="shared" si="17"/>
        <v>20553983.650000084</v>
      </c>
      <c r="AP26" s="12">
        <f t="shared" si="17"/>
        <v>20530166.750000086</v>
      </c>
      <c r="AQ26" s="12">
        <f t="shared" si="17"/>
        <v>20506349.850000087</v>
      </c>
      <c r="AR26" s="17">
        <f t="shared" si="17"/>
        <v>20482532.950000089</v>
      </c>
      <c r="AS26" s="12">
        <f t="shared" si="16"/>
        <v>309381.52</v>
      </c>
      <c r="AT26" s="12">
        <f t="shared" si="11"/>
        <v>312128.88</v>
      </c>
      <c r="AU26" s="12">
        <f t="shared" si="12"/>
        <v>23816.9</v>
      </c>
      <c r="AV26" s="18">
        <f t="shared" si="13"/>
        <v>26010.74</v>
      </c>
      <c r="AW26" s="17">
        <f t="shared" si="14"/>
        <v>23816.9</v>
      </c>
      <c r="AX26" s="12"/>
      <c r="AY26" s="12"/>
      <c r="AZ26" s="19"/>
      <c r="BA26" s="20"/>
      <c r="BB26" s="20"/>
      <c r="BC26" s="20"/>
      <c r="BD26" s="20"/>
    </row>
    <row r="27" spans="1:56" s="21" customFormat="1" ht="36" x14ac:dyDescent="0.25">
      <c r="A27" s="7"/>
      <c r="B27" s="7">
        <v>29</v>
      </c>
      <c r="C27" s="7" t="s">
        <v>51</v>
      </c>
      <c r="D27" s="7" t="s">
        <v>90</v>
      </c>
      <c r="E27" s="7" t="s">
        <v>91</v>
      </c>
      <c r="F27" s="34">
        <v>2</v>
      </c>
      <c r="G27" s="7">
        <v>132</v>
      </c>
      <c r="H27" s="9" t="str">
        <f t="shared" si="0"/>
        <v>Жилой комплекс Виктория, Б. Момышулы 2 - 132</v>
      </c>
      <c r="I27" s="10">
        <v>1</v>
      </c>
      <c r="J27" s="11">
        <v>18225741</v>
      </c>
      <c r="K27" s="11"/>
      <c r="L27" s="12">
        <v>16345490.47000004</v>
      </c>
      <c r="M27" s="12">
        <f t="shared" si="1"/>
        <v>16345490.47000004</v>
      </c>
      <c r="N27" s="10">
        <v>2</v>
      </c>
      <c r="O27" s="33">
        <v>77</v>
      </c>
      <c r="P27" s="10">
        <v>45.6</v>
      </c>
      <c r="Q27" s="10"/>
      <c r="R27" s="10"/>
      <c r="S27" s="10"/>
      <c r="T27" s="10"/>
      <c r="U27" s="13" t="s">
        <v>95</v>
      </c>
      <c r="V27" s="14" t="s">
        <v>56</v>
      </c>
      <c r="W27" s="7"/>
      <c r="X27" s="7"/>
      <c r="Y27" s="15"/>
      <c r="Z27" s="15">
        <v>19.3</v>
      </c>
      <c r="AA27" s="15" t="s">
        <v>57</v>
      </c>
      <c r="AB27" s="15">
        <f t="shared" si="2"/>
        <v>1.5</v>
      </c>
      <c r="AC27" s="16">
        <f t="shared" si="3"/>
        <v>28.950000000000003</v>
      </c>
      <c r="AD27" s="12">
        <f t="shared" si="4"/>
        <v>2229.15</v>
      </c>
      <c r="AE27" s="12">
        <v>18744.830000000002</v>
      </c>
      <c r="AF27" s="12">
        <f t="shared" si="5"/>
        <v>16345490.47000004</v>
      </c>
      <c r="AG27" s="12">
        <f t="shared" si="6"/>
        <v>16326745.64000004</v>
      </c>
      <c r="AH27" s="12">
        <f t="shared" si="7"/>
        <v>16308000.81000004</v>
      </c>
      <c r="AI27" s="12">
        <f t="shared" si="8"/>
        <v>16289255.98000004</v>
      </c>
      <c r="AJ27" s="12">
        <f t="shared" si="9"/>
        <v>16270511.150000039</v>
      </c>
      <c r="AK27" s="12">
        <f t="shared" si="17"/>
        <v>16251766.320000039</v>
      </c>
      <c r="AL27" s="12">
        <f t="shared" si="17"/>
        <v>16233021.490000039</v>
      </c>
      <c r="AM27" s="12">
        <f t="shared" si="17"/>
        <v>16214276.660000039</v>
      </c>
      <c r="AN27" s="12">
        <f t="shared" si="17"/>
        <v>16195531.830000039</v>
      </c>
      <c r="AO27" s="12">
        <f t="shared" si="17"/>
        <v>16176787.000000039</v>
      </c>
      <c r="AP27" s="12">
        <f t="shared" si="17"/>
        <v>16158042.170000039</v>
      </c>
      <c r="AQ27" s="12">
        <f t="shared" si="17"/>
        <v>16139297.340000039</v>
      </c>
      <c r="AR27" s="17">
        <f t="shared" si="17"/>
        <v>16120552.510000039</v>
      </c>
      <c r="AS27" s="12">
        <f t="shared" si="16"/>
        <v>243495.32</v>
      </c>
      <c r="AT27" s="12">
        <f t="shared" si="11"/>
        <v>245724.47</v>
      </c>
      <c r="AU27" s="12">
        <f t="shared" si="12"/>
        <v>18744.830000000002</v>
      </c>
      <c r="AV27" s="18">
        <f t="shared" si="13"/>
        <v>20477.04</v>
      </c>
      <c r="AW27" s="17">
        <f t="shared" si="14"/>
        <v>18744.830000000002</v>
      </c>
      <c r="AX27" s="12"/>
      <c r="AY27" s="12"/>
      <c r="AZ27" s="19"/>
      <c r="BA27" s="20"/>
      <c r="BB27" s="20"/>
      <c r="BC27" s="20"/>
      <c r="BD27" s="20"/>
    </row>
    <row r="28" spans="1:56" s="21" customFormat="1" ht="36" x14ac:dyDescent="0.25">
      <c r="A28" s="7"/>
      <c r="B28" s="7">
        <v>31</v>
      </c>
      <c r="C28" s="7" t="s">
        <v>58</v>
      </c>
      <c r="D28" s="7" t="s">
        <v>96</v>
      </c>
      <c r="E28" s="7">
        <v>199</v>
      </c>
      <c r="F28" s="34" t="s">
        <v>97</v>
      </c>
      <c r="G28" s="7">
        <v>23</v>
      </c>
      <c r="H28" s="9" t="str">
        <f t="shared" si="0"/>
        <v>Жилой комплекс Жагалау-3, 199 36/1 - 23</v>
      </c>
      <c r="I28" s="10">
        <v>1</v>
      </c>
      <c r="J28" s="11">
        <v>18659418</v>
      </c>
      <c r="K28" s="11"/>
      <c r="L28" s="12">
        <v>16734427.190000027</v>
      </c>
      <c r="M28" s="12">
        <f t="shared" si="1"/>
        <v>16734427.190000027</v>
      </c>
      <c r="N28" s="10">
        <v>3</v>
      </c>
      <c r="O28" s="10">
        <v>97.8</v>
      </c>
      <c r="P28" s="10">
        <v>58.2</v>
      </c>
      <c r="Q28" s="10"/>
      <c r="R28" s="10"/>
      <c r="S28" s="10"/>
      <c r="T28" s="10"/>
      <c r="U28" s="13" t="s">
        <v>98</v>
      </c>
      <c r="V28" s="14" t="s">
        <v>56</v>
      </c>
      <c r="W28" s="7"/>
      <c r="X28" s="7"/>
      <c r="Y28" s="15"/>
      <c r="Z28" s="15">
        <v>19.3</v>
      </c>
      <c r="AA28" s="15" t="s">
        <v>57</v>
      </c>
      <c r="AB28" s="15">
        <f t="shared" si="2"/>
        <v>1.5</v>
      </c>
      <c r="AC28" s="16">
        <f t="shared" si="3"/>
        <v>28.950000000000003</v>
      </c>
      <c r="AD28" s="12">
        <f t="shared" si="4"/>
        <v>2831.31</v>
      </c>
      <c r="AE28" s="12">
        <v>19190.86</v>
      </c>
      <c r="AF28" s="12">
        <f t="shared" si="5"/>
        <v>16734427.190000027</v>
      </c>
      <c r="AG28" s="12">
        <f t="shared" si="6"/>
        <v>16715236.330000028</v>
      </c>
      <c r="AH28" s="12">
        <f t="shared" si="7"/>
        <v>16696045.470000029</v>
      </c>
      <c r="AI28" s="12">
        <f t="shared" si="8"/>
        <v>16676854.610000029</v>
      </c>
      <c r="AJ28" s="12">
        <f t="shared" si="9"/>
        <v>16657663.75000003</v>
      </c>
      <c r="AK28" s="12">
        <f t="shared" si="17"/>
        <v>16638472.89000003</v>
      </c>
      <c r="AL28" s="12">
        <f t="shared" si="17"/>
        <v>16619282.030000031</v>
      </c>
      <c r="AM28" s="12">
        <f t="shared" si="17"/>
        <v>16600091.170000032</v>
      </c>
      <c r="AN28" s="12">
        <f t="shared" si="17"/>
        <v>16580900.310000032</v>
      </c>
      <c r="AO28" s="12">
        <f t="shared" si="17"/>
        <v>16561709.450000033</v>
      </c>
      <c r="AP28" s="12">
        <f t="shared" si="17"/>
        <v>16542518.590000033</v>
      </c>
      <c r="AQ28" s="12">
        <f t="shared" si="17"/>
        <v>16523327.730000034</v>
      </c>
      <c r="AR28" s="17">
        <f t="shared" si="17"/>
        <v>16504136.870000035</v>
      </c>
      <c r="AS28" s="12">
        <f t="shared" si="16"/>
        <v>249289.23</v>
      </c>
      <c r="AT28" s="12">
        <f t="shared" si="11"/>
        <v>252120.54</v>
      </c>
      <c r="AU28" s="12">
        <f t="shared" si="12"/>
        <v>19190.86</v>
      </c>
      <c r="AV28" s="18">
        <f t="shared" si="13"/>
        <v>21010.05</v>
      </c>
      <c r="AW28" s="17">
        <f t="shared" si="14"/>
        <v>19190.86</v>
      </c>
      <c r="AX28" s="12"/>
      <c r="AY28" s="12"/>
      <c r="AZ28" s="19"/>
      <c r="BA28" s="20"/>
      <c r="BB28" s="20"/>
      <c r="BC28" s="20"/>
      <c r="BD28" s="20"/>
    </row>
    <row r="29" spans="1:56" s="21" customFormat="1" ht="36" x14ac:dyDescent="0.25">
      <c r="A29" s="7"/>
      <c r="B29" s="7">
        <v>32</v>
      </c>
      <c r="C29" s="7" t="s">
        <v>58</v>
      </c>
      <c r="D29" s="7" t="s">
        <v>96</v>
      </c>
      <c r="E29" s="7">
        <v>199</v>
      </c>
      <c r="F29" s="34" t="s">
        <v>97</v>
      </c>
      <c r="G29" s="7">
        <v>30</v>
      </c>
      <c r="H29" s="9" t="str">
        <f t="shared" si="0"/>
        <v>Жилой комплекс Жагалау-3, 199 36/1 - 30</v>
      </c>
      <c r="I29" s="10">
        <v>1</v>
      </c>
      <c r="J29" s="11">
        <v>17781777</v>
      </c>
      <c r="K29" s="11"/>
      <c r="L29" s="12">
        <v>15947327.92999997</v>
      </c>
      <c r="M29" s="12">
        <f t="shared" si="1"/>
        <v>15947327.92999997</v>
      </c>
      <c r="N29" s="10">
        <v>3</v>
      </c>
      <c r="O29" s="10">
        <v>93.2</v>
      </c>
      <c r="P29" s="10">
        <v>56.5</v>
      </c>
      <c r="Q29" s="10"/>
      <c r="R29" s="10"/>
      <c r="S29" s="10"/>
      <c r="T29" s="10"/>
      <c r="U29" s="13" t="s">
        <v>99</v>
      </c>
      <c r="V29" s="14" t="s">
        <v>56</v>
      </c>
      <c r="W29" s="7"/>
      <c r="X29" s="7"/>
      <c r="Y29" s="15"/>
      <c r="Z29" s="15">
        <v>19.3</v>
      </c>
      <c r="AA29" s="15" t="s">
        <v>57</v>
      </c>
      <c r="AB29" s="15">
        <f t="shared" si="2"/>
        <v>1.5</v>
      </c>
      <c r="AC29" s="16">
        <f t="shared" si="3"/>
        <v>28.950000000000003</v>
      </c>
      <c r="AD29" s="12">
        <f t="shared" si="4"/>
        <v>2698.14</v>
      </c>
      <c r="AE29" s="12">
        <v>18288.22</v>
      </c>
      <c r="AF29" s="12">
        <f t="shared" si="5"/>
        <v>15947327.92999997</v>
      </c>
      <c r="AG29" s="12">
        <f t="shared" si="6"/>
        <v>15929039.709999969</v>
      </c>
      <c r="AH29" s="12">
        <f t="shared" si="7"/>
        <v>15910751.489999969</v>
      </c>
      <c r="AI29" s="12">
        <f t="shared" si="8"/>
        <v>15892463.269999968</v>
      </c>
      <c r="AJ29" s="12">
        <f t="shared" si="9"/>
        <v>15874175.049999967</v>
      </c>
      <c r="AK29" s="12">
        <f t="shared" si="17"/>
        <v>15855886.829999967</v>
      </c>
      <c r="AL29" s="12">
        <f t="shared" si="17"/>
        <v>15837598.609999966</v>
      </c>
      <c r="AM29" s="12">
        <f t="shared" si="17"/>
        <v>15819310.389999965</v>
      </c>
      <c r="AN29" s="12">
        <f t="shared" si="17"/>
        <v>15801022.169999965</v>
      </c>
      <c r="AO29" s="12">
        <f t="shared" si="17"/>
        <v>15782733.949999964</v>
      </c>
      <c r="AP29" s="12">
        <f t="shared" si="17"/>
        <v>15764445.729999963</v>
      </c>
      <c r="AQ29" s="12">
        <f t="shared" si="17"/>
        <v>15746157.509999963</v>
      </c>
      <c r="AR29" s="17">
        <f t="shared" si="17"/>
        <v>15727869.289999962</v>
      </c>
      <c r="AS29" s="12">
        <f t="shared" si="16"/>
        <v>237563.98</v>
      </c>
      <c r="AT29" s="12">
        <f t="shared" si="11"/>
        <v>240262.12000000002</v>
      </c>
      <c r="AU29" s="12">
        <f t="shared" si="12"/>
        <v>18288.22</v>
      </c>
      <c r="AV29" s="18">
        <f t="shared" si="13"/>
        <v>20021.84</v>
      </c>
      <c r="AW29" s="17">
        <f t="shared" si="14"/>
        <v>18288.22</v>
      </c>
      <c r="AX29" s="12"/>
      <c r="AY29" s="12"/>
      <c r="AZ29" s="19"/>
      <c r="BA29" s="20"/>
      <c r="BB29" s="20"/>
      <c r="BC29" s="20"/>
      <c r="BD29" s="20"/>
    </row>
    <row r="30" spans="1:56" s="21" customFormat="1" ht="36" x14ac:dyDescent="0.25">
      <c r="A30" s="7"/>
      <c r="B30" s="7">
        <v>33</v>
      </c>
      <c r="C30" s="7" t="s">
        <v>58</v>
      </c>
      <c r="D30" s="7" t="s">
        <v>96</v>
      </c>
      <c r="E30" s="7">
        <v>199</v>
      </c>
      <c r="F30" s="34" t="s">
        <v>97</v>
      </c>
      <c r="G30" s="7">
        <v>31</v>
      </c>
      <c r="H30" s="9" t="str">
        <f t="shared" si="0"/>
        <v>Жилой комплекс Жагалау-3, 199 36/1 - 31</v>
      </c>
      <c r="I30" s="10">
        <v>1</v>
      </c>
      <c r="J30" s="11">
        <v>15277404</v>
      </c>
      <c r="K30" s="11"/>
      <c r="L30" s="12">
        <v>13701317.380000021</v>
      </c>
      <c r="M30" s="12">
        <f t="shared" si="1"/>
        <v>13701317.380000021</v>
      </c>
      <c r="N30" s="10">
        <v>3</v>
      </c>
      <c r="O30" s="10">
        <v>72.7</v>
      </c>
      <c r="P30" s="33">
        <v>39</v>
      </c>
      <c r="Q30" s="10"/>
      <c r="R30" s="10"/>
      <c r="S30" s="10"/>
      <c r="T30" s="10"/>
      <c r="U30" s="13" t="s">
        <v>100</v>
      </c>
      <c r="V30" s="14" t="s">
        <v>56</v>
      </c>
      <c r="W30" s="7"/>
      <c r="X30" s="7"/>
      <c r="Y30" s="15"/>
      <c r="Z30" s="15">
        <v>19.3</v>
      </c>
      <c r="AA30" s="15" t="s">
        <v>57</v>
      </c>
      <c r="AB30" s="15">
        <f t="shared" si="2"/>
        <v>1.5</v>
      </c>
      <c r="AC30" s="16">
        <f t="shared" si="3"/>
        <v>28.950000000000003</v>
      </c>
      <c r="AD30" s="12">
        <f t="shared" si="4"/>
        <v>2104.67</v>
      </c>
      <c r="AE30" s="12">
        <v>15712.52</v>
      </c>
      <c r="AF30" s="12">
        <f t="shared" si="5"/>
        <v>13701317.380000021</v>
      </c>
      <c r="AG30" s="12">
        <f t="shared" si="6"/>
        <v>13685604.860000022</v>
      </c>
      <c r="AH30" s="12">
        <f t="shared" si="7"/>
        <v>13669892.340000022</v>
      </c>
      <c r="AI30" s="12">
        <f t="shared" si="8"/>
        <v>13654179.820000023</v>
      </c>
      <c r="AJ30" s="12">
        <f t="shared" si="9"/>
        <v>13638467.300000023</v>
      </c>
      <c r="AK30" s="12">
        <f t="shared" si="17"/>
        <v>13622754.780000024</v>
      </c>
      <c r="AL30" s="12">
        <f t="shared" si="17"/>
        <v>13607042.260000024</v>
      </c>
      <c r="AM30" s="12">
        <f t="shared" si="17"/>
        <v>13591329.740000024</v>
      </c>
      <c r="AN30" s="12">
        <f t="shared" si="17"/>
        <v>13575617.220000025</v>
      </c>
      <c r="AO30" s="12">
        <f t="shared" si="17"/>
        <v>13559904.700000025</v>
      </c>
      <c r="AP30" s="12">
        <f t="shared" si="17"/>
        <v>13544192.180000026</v>
      </c>
      <c r="AQ30" s="12">
        <f t="shared" si="17"/>
        <v>13528479.660000026</v>
      </c>
      <c r="AR30" s="17">
        <f t="shared" si="17"/>
        <v>13512767.140000027</v>
      </c>
      <c r="AS30" s="12">
        <f t="shared" si="16"/>
        <v>204105.63</v>
      </c>
      <c r="AT30" s="12">
        <f t="shared" si="11"/>
        <v>206210.30000000002</v>
      </c>
      <c r="AU30" s="12">
        <f t="shared" si="12"/>
        <v>15712.52</v>
      </c>
      <c r="AV30" s="18">
        <f t="shared" si="13"/>
        <v>17184.189999999999</v>
      </c>
      <c r="AW30" s="17">
        <f t="shared" si="14"/>
        <v>15712.52</v>
      </c>
      <c r="AX30" s="12"/>
      <c r="AY30" s="12"/>
      <c r="AZ30" s="19"/>
      <c r="BA30" s="20"/>
      <c r="BB30" s="20"/>
      <c r="BC30" s="20"/>
      <c r="BD30" s="20"/>
    </row>
    <row r="31" spans="1:56" s="21" customFormat="1" ht="36" x14ac:dyDescent="0.25">
      <c r="A31" s="7"/>
      <c r="B31" s="7">
        <v>34</v>
      </c>
      <c r="C31" s="7" t="s">
        <v>58</v>
      </c>
      <c r="D31" s="7" t="s">
        <v>96</v>
      </c>
      <c r="E31" s="7">
        <v>199</v>
      </c>
      <c r="F31" s="34" t="s">
        <v>97</v>
      </c>
      <c r="G31" s="7">
        <v>40</v>
      </c>
      <c r="H31" s="9" t="str">
        <f t="shared" si="0"/>
        <v>Жилой комплекс Жагалау-3, 199 36/1 - 40</v>
      </c>
      <c r="I31" s="10">
        <v>1</v>
      </c>
      <c r="J31" s="11">
        <v>18182439</v>
      </c>
      <c r="K31" s="11"/>
      <c r="L31" s="12">
        <v>16306656.060000043</v>
      </c>
      <c r="M31" s="12">
        <f t="shared" si="1"/>
        <v>16306656.060000043</v>
      </c>
      <c r="N31" s="10">
        <v>3</v>
      </c>
      <c r="O31" s="10">
        <v>95.3</v>
      </c>
      <c r="P31" s="10">
        <v>57.3</v>
      </c>
      <c r="Q31" s="10"/>
      <c r="R31" s="10"/>
      <c r="S31" s="10"/>
      <c r="T31" s="10"/>
      <c r="U31" s="13" t="s">
        <v>101</v>
      </c>
      <c r="V31" s="14" t="s">
        <v>56</v>
      </c>
      <c r="W31" s="7"/>
      <c r="X31" s="7"/>
      <c r="Y31" s="15"/>
      <c r="Z31" s="15">
        <v>19.3</v>
      </c>
      <c r="AA31" s="15" t="s">
        <v>57</v>
      </c>
      <c r="AB31" s="15">
        <f t="shared" si="2"/>
        <v>1.5</v>
      </c>
      <c r="AC31" s="16">
        <f t="shared" si="3"/>
        <v>28.950000000000003</v>
      </c>
      <c r="AD31" s="12">
        <f t="shared" si="4"/>
        <v>2758.94</v>
      </c>
      <c r="AE31" s="12">
        <v>18700.29</v>
      </c>
      <c r="AF31" s="12">
        <f t="shared" si="5"/>
        <v>16306656.060000043</v>
      </c>
      <c r="AG31" s="12">
        <f t="shared" si="6"/>
        <v>16287955.770000044</v>
      </c>
      <c r="AH31" s="12">
        <f t="shared" si="7"/>
        <v>16269255.480000045</v>
      </c>
      <c r="AI31" s="12">
        <f t="shared" si="8"/>
        <v>16250555.190000046</v>
      </c>
      <c r="AJ31" s="12">
        <f t="shared" si="9"/>
        <v>16231854.900000047</v>
      </c>
      <c r="AK31" s="12">
        <f t="shared" si="17"/>
        <v>16213154.610000048</v>
      </c>
      <c r="AL31" s="12">
        <f t="shared" si="17"/>
        <v>16194454.320000049</v>
      </c>
      <c r="AM31" s="12">
        <f t="shared" si="17"/>
        <v>16175754.03000005</v>
      </c>
      <c r="AN31" s="12">
        <f t="shared" si="17"/>
        <v>16157053.740000051</v>
      </c>
      <c r="AO31" s="12">
        <f t="shared" si="17"/>
        <v>16138353.450000051</v>
      </c>
      <c r="AP31" s="12">
        <f t="shared" si="17"/>
        <v>16119653.160000052</v>
      </c>
      <c r="AQ31" s="12">
        <f t="shared" si="17"/>
        <v>16100952.870000053</v>
      </c>
      <c r="AR31" s="17">
        <f t="shared" si="17"/>
        <v>16082252.580000054</v>
      </c>
      <c r="AS31" s="12">
        <f t="shared" si="16"/>
        <v>242916.81</v>
      </c>
      <c r="AT31" s="12">
        <f t="shared" si="11"/>
        <v>245675.75</v>
      </c>
      <c r="AU31" s="12">
        <f t="shared" si="12"/>
        <v>18700.29</v>
      </c>
      <c r="AV31" s="18">
        <f t="shared" si="13"/>
        <v>20472.98</v>
      </c>
      <c r="AW31" s="17">
        <f t="shared" si="14"/>
        <v>18700.29</v>
      </c>
      <c r="AX31" s="12"/>
      <c r="AY31" s="12"/>
      <c r="AZ31" s="19"/>
      <c r="BA31" s="20"/>
      <c r="BB31" s="20"/>
      <c r="BC31" s="20"/>
      <c r="BD31" s="20"/>
    </row>
    <row r="32" spans="1:56" s="21" customFormat="1" ht="36" x14ac:dyDescent="0.25">
      <c r="A32" s="7"/>
      <c r="B32" s="7">
        <v>35</v>
      </c>
      <c r="C32" s="7" t="s">
        <v>58</v>
      </c>
      <c r="D32" s="7" t="s">
        <v>96</v>
      </c>
      <c r="E32" s="7">
        <v>199</v>
      </c>
      <c r="F32" s="34" t="s">
        <v>97</v>
      </c>
      <c r="G32" s="7">
        <v>41</v>
      </c>
      <c r="H32" s="9" t="str">
        <f t="shared" si="0"/>
        <v>Жилой комплекс Жагалау-3, 199 36/1 - 41</v>
      </c>
      <c r="I32" s="10">
        <v>1</v>
      </c>
      <c r="J32" s="11">
        <v>14883555</v>
      </c>
      <c r="K32" s="11"/>
      <c r="L32" s="12">
        <v>13348100.000000035</v>
      </c>
      <c r="M32" s="12">
        <f t="shared" si="1"/>
        <v>13348100.000000035</v>
      </c>
      <c r="N32" s="10">
        <v>3</v>
      </c>
      <c r="O32" s="10">
        <v>73.5</v>
      </c>
      <c r="P32" s="10">
        <v>39.5</v>
      </c>
      <c r="Q32" s="10"/>
      <c r="R32" s="10"/>
      <c r="S32" s="10"/>
      <c r="T32" s="10"/>
      <c r="U32" s="13" t="s">
        <v>102</v>
      </c>
      <c r="V32" s="14" t="s">
        <v>56</v>
      </c>
      <c r="W32" s="7"/>
      <c r="X32" s="7"/>
      <c r="Y32" s="15"/>
      <c r="Z32" s="15">
        <v>19.3</v>
      </c>
      <c r="AA32" s="15" t="s">
        <v>57</v>
      </c>
      <c r="AB32" s="15">
        <f t="shared" si="2"/>
        <v>1.5</v>
      </c>
      <c r="AC32" s="16">
        <f t="shared" si="3"/>
        <v>28.950000000000003</v>
      </c>
      <c r="AD32" s="12">
        <f t="shared" si="4"/>
        <v>2127.83</v>
      </c>
      <c r="AE32" s="12">
        <v>15307.45</v>
      </c>
      <c r="AF32" s="12">
        <f t="shared" si="5"/>
        <v>13348100.000000035</v>
      </c>
      <c r="AG32" s="12">
        <f t="shared" si="6"/>
        <v>13332792.550000036</v>
      </c>
      <c r="AH32" s="12">
        <f t="shared" si="7"/>
        <v>13317485.100000037</v>
      </c>
      <c r="AI32" s="12">
        <f t="shared" si="8"/>
        <v>13302177.650000038</v>
      </c>
      <c r="AJ32" s="12">
        <f t="shared" si="9"/>
        <v>13286870.200000038</v>
      </c>
      <c r="AK32" s="12">
        <f t="shared" si="17"/>
        <v>13271562.750000039</v>
      </c>
      <c r="AL32" s="12">
        <f t="shared" si="17"/>
        <v>13256255.30000004</v>
      </c>
      <c r="AM32" s="12">
        <f t="shared" si="17"/>
        <v>13240947.850000041</v>
      </c>
      <c r="AN32" s="12">
        <f t="shared" si="17"/>
        <v>13225640.400000041</v>
      </c>
      <c r="AO32" s="12">
        <f t="shared" si="17"/>
        <v>13210332.950000042</v>
      </c>
      <c r="AP32" s="12">
        <f t="shared" si="17"/>
        <v>13195025.500000043</v>
      </c>
      <c r="AQ32" s="12">
        <f t="shared" si="17"/>
        <v>13179718.050000044</v>
      </c>
      <c r="AR32" s="17">
        <f t="shared" si="17"/>
        <v>13164410.600000044</v>
      </c>
      <c r="AS32" s="12">
        <f t="shared" si="16"/>
        <v>198843.83</v>
      </c>
      <c r="AT32" s="12">
        <f t="shared" si="11"/>
        <v>200971.65999999997</v>
      </c>
      <c r="AU32" s="12">
        <f t="shared" si="12"/>
        <v>15307.45</v>
      </c>
      <c r="AV32" s="18">
        <f t="shared" si="13"/>
        <v>16747.64</v>
      </c>
      <c r="AW32" s="17">
        <f t="shared" si="14"/>
        <v>15307.45</v>
      </c>
      <c r="AX32" s="12"/>
      <c r="AY32" s="12"/>
      <c r="AZ32" s="19"/>
      <c r="BA32" s="20"/>
      <c r="BB32" s="20"/>
      <c r="BC32" s="20"/>
      <c r="BD32" s="20"/>
    </row>
    <row r="33" spans="1:56" s="21" customFormat="1" ht="36" x14ac:dyDescent="0.25">
      <c r="A33" s="31"/>
      <c r="B33" s="7">
        <v>36</v>
      </c>
      <c r="C33" s="31" t="s">
        <v>58</v>
      </c>
      <c r="D33" s="31" t="s">
        <v>96</v>
      </c>
      <c r="E33" s="31">
        <v>199</v>
      </c>
      <c r="F33" s="35" t="s">
        <v>97</v>
      </c>
      <c r="G33" s="31">
        <v>43</v>
      </c>
      <c r="H33" s="9" t="str">
        <f t="shared" si="0"/>
        <v>Жилой комплекс Жагалау-3, 199 36/1 - 43</v>
      </c>
      <c r="I33" s="36">
        <v>1</v>
      </c>
      <c r="J33" s="37">
        <f>18414251</f>
        <v>18414251</v>
      </c>
      <c r="K33" s="37">
        <f>IF(V33="Да",ROUND($J$33/O33*T33,2),J33)</f>
        <v>7854279.5199999996</v>
      </c>
      <c r="L33" s="38">
        <v>16514552.73</v>
      </c>
      <c r="M33" s="39">
        <f>IF(V33="Да",ROUND($L$33/O33*T33,2),L33)</f>
        <v>7043996.1600000001</v>
      </c>
      <c r="N33" s="36">
        <v>3</v>
      </c>
      <c r="O33" s="36">
        <f>99.5</f>
        <v>99.5</v>
      </c>
      <c r="P33" s="36">
        <v>59.2</v>
      </c>
      <c r="Q33" s="40">
        <f>29</f>
        <v>29</v>
      </c>
      <c r="R33" s="40">
        <f>O33-SUM($Q$33:$Q$35)</f>
        <v>40.299999999999997</v>
      </c>
      <c r="S33" s="40">
        <f>R33/SUM($W$33:$W$35)</f>
        <v>13.433333333333332</v>
      </c>
      <c r="T33" s="41">
        <f>ROUNDUP(Q33+S33*W33,2)</f>
        <v>42.44</v>
      </c>
      <c r="U33" s="13" t="s">
        <v>103</v>
      </c>
      <c r="V33" s="36" t="s">
        <v>104</v>
      </c>
      <c r="W33" s="31">
        <v>1</v>
      </c>
      <c r="X33" s="7" t="s">
        <v>105</v>
      </c>
      <c r="Y33" s="15"/>
      <c r="Z33" s="42">
        <v>19.3</v>
      </c>
      <c r="AA33" s="42" t="s">
        <v>57</v>
      </c>
      <c r="AB33" s="42">
        <f t="shared" si="2"/>
        <v>1.5</v>
      </c>
      <c r="AC33" s="43">
        <f t="shared" si="3"/>
        <v>28.950000000000003</v>
      </c>
      <c r="AD33" s="38">
        <f t="shared" si="4"/>
        <v>1228.6400000000001</v>
      </c>
      <c r="AE33" s="38">
        <f>ROUND(18938.71/O33*T33,2)</f>
        <v>8077.98</v>
      </c>
      <c r="AF33" s="38">
        <f t="shared" si="5"/>
        <v>7043996.1600000001</v>
      </c>
      <c r="AG33" s="38">
        <f t="shared" si="6"/>
        <v>7035918.1799999997</v>
      </c>
      <c r="AH33" s="38">
        <f t="shared" si="7"/>
        <v>7027840.1999999993</v>
      </c>
      <c r="AI33" s="38">
        <f t="shared" si="8"/>
        <v>7019762.2199999988</v>
      </c>
      <c r="AJ33" s="38">
        <f t="shared" si="9"/>
        <v>7011684.2399999984</v>
      </c>
      <c r="AK33" s="38">
        <f t="shared" si="17"/>
        <v>7003606.2599999979</v>
      </c>
      <c r="AL33" s="38">
        <f t="shared" si="17"/>
        <v>6995528.2799999975</v>
      </c>
      <c r="AM33" s="38">
        <f t="shared" si="17"/>
        <v>6987450.299999997</v>
      </c>
      <c r="AN33" s="38">
        <f t="shared" si="17"/>
        <v>6979372.3199999966</v>
      </c>
      <c r="AO33" s="38">
        <f t="shared" si="17"/>
        <v>6971294.3399999961</v>
      </c>
      <c r="AP33" s="38">
        <f t="shared" si="17"/>
        <v>6963216.3599999957</v>
      </c>
      <c r="AQ33" s="38">
        <f t="shared" si="17"/>
        <v>6955138.3799999952</v>
      </c>
      <c r="AR33" s="17">
        <f t="shared" si="17"/>
        <v>6947060.3999999948</v>
      </c>
      <c r="AS33" s="38">
        <f t="shared" si="16"/>
        <v>104932.92</v>
      </c>
      <c r="AT33" s="38">
        <f t="shared" si="11"/>
        <v>106161.56</v>
      </c>
      <c r="AU33" s="38">
        <f t="shared" si="12"/>
        <v>8077.98</v>
      </c>
      <c r="AV33" s="18">
        <f>ROUNDUP((AT33)/12,2)</f>
        <v>8846.8000000000011</v>
      </c>
      <c r="AW33" s="17">
        <f t="shared" si="14"/>
        <v>8077.98</v>
      </c>
      <c r="AX33" s="38"/>
      <c r="AY33" s="38"/>
      <c r="AZ33" s="44"/>
      <c r="BA33" s="45"/>
      <c r="BB33" s="45"/>
      <c r="BC33" s="45"/>
      <c r="BD33" s="45"/>
    </row>
    <row r="34" spans="1:56" s="21" customFormat="1" ht="36" x14ac:dyDescent="0.25">
      <c r="A34" s="31"/>
      <c r="B34" s="31"/>
      <c r="C34" s="31" t="s">
        <v>58</v>
      </c>
      <c r="D34" s="31" t="s">
        <v>96</v>
      </c>
      <c r="E34" s="31">
        <v>199</v>
      </c>
      <c r="F34" s="35" t="s">
        <v>97</v>
      </c>
      <c r="G34" s="31">
        <v>43</v>
      </c>
      <c r="H34" s="9" t="str">
        <f t="shared" si="0"/>
        <v>Жилой комплекс Жагалау-3, 199 36/1 - 43</v>
      </c>
      <c r="I34" s="36"/>
      <c r="J34" s="37"/>
      <c r="K34" s="37">
        <f>IF(V34="Да",ROUND($J$33/O34*T34,2),J34)</f>
        <v>5631614.6500000004</v>
      </c>
      <c r="L34" s="38"/>
      <c r="M34" s="39">
        <f>IF(V34="Да",ROUND($L$33/O34*T34,2),L34)</f>
        <v>5050631.55</v>
      </c>
      <c r="N34" s="36">
        <v>3</v>
      </c>
      <c r="O34" s="36">
        <f>99.5</f>
        <v>99.5</v>
      </c>
      <c r="P34" s="36">
        <v>59.2</v>
      </c>
      <c r="Q34" s="40">
        <f>8.5+8.5</f>
        <v>17</v>
      </c>
      <c r="R34" s="40">
        <f>O34-SUM($Q$33:$Q$35)</f>
        <v>40.299999999999997</v>
      </c>
      <c r="S34" s="40">
        <f>R34/SUM($W$33:$W$35)</f>
        <v>13.433333333333332</v>
      </c>
      <c r="T34" s="41">
        <f>ROUND(Q34+S34*W34,2)</f>
        <v>30.43</v>
      </c>
      <c r="U34" s="13" t="s">
        <v>106</v>
      </c>
      <c r="V34" s="36" t="s">
        <v>104</v>
      </c>
      <c r="W34" s="31">
        <v>1</v>
      </c>
      <c r="X34" s="7" t="s">
        <v>107</v>
      </c>
      <c r="Y34" s="15"/>
      <c r="Z34" s="42">
        <v>19.3</v>
      </c>
      <c r="AA34" s="42" t="s">
        <v>57</v>
      </c>
      <c r="AB34" s="42">
        <f t="shared" si="2"/>
        <v>1.5</v>
      </c>
      <c r="AC34" s="43">
        <f t="shared" si="3"/>
        <v>28.950000000000003</v>
      </c>
      <c r="AD34" s="38">
        <f t="shared" si="4"/>
        <v>880.95</v>
      </c>
      <c r="AE34" s="38">
        <f>ROUND(18938.71/O34*T34,2)</f>
        <v>5792.01</v>
      </c>
      <c r="AF34" s="38">
        <f t="shared" si="5"/>
        <v>5050631.55</v>
      </c>
      <c r="AG34" s="38">
        <f t="shared" si="6"/>
        <v>5044839.54</v>
      </c>
      <c r="AH34" s="38">
        <f t="shared" si="7"/>
        <v>5039047.53</v>
      </c>
      <c r="AI34" s="38">
        <f t="shared" si="8"/>
        <v>5033255.5200000005</v>
      </c>
      <c r="AJ34" s="38">
        <f t="shared" si="9"/>
        <v>5027463.5100000007</v>
      </c>
      <c r="AK34" s="38">
        <f t="shared" si="17"/>
        <v>5021671.5000000009</v>
      </c>
      <c r="AL34" s="38">
        <f t="shared" si="17"/>
        <v>5015879.4900000012</v>
      </c>
      <c r="AM34" s="38">
        <f t="shared" si="17"/>
        <v>5010087.4800000014</v>
      </c>
      <c r="AN34" s="38">
        <f t="shared" si="17"/>
        <v>5004295.4700000016</v>
      </c>
      <c r="AO34" s="38">
        <f t="shared" si="17"/>
        <v>4998503.4600000018</v>
      </c>
      <c r="AP34" s="38">
        <f t="shared" si="17"/>
        <v>4992711.450000002</v>
      </c>
      <c r="AQ34" s="38">
        <f t="shared" si="17"/>
        <v>4986919.4400000023</v>
      </c>
      <c r="AR34" s="17">
        <f t="shared" si="17"/>
        <v>4981127.4300000025</v>
      </c>
      <c r="AS34" s="38">
        <f t="shared" si="16"/>
        <v>75238.19</v>
      </c>
      <c r="AT34" s="38">
        <f t="shared" si="11"/>
        <v>76119.14</v>
      </c>
      <c r="AU34" s="38">
        <f t="shared" si="12"/>
        <v>5792.01</v>
      </c>
      <c r="AV34" s="18">
        <f>ROUND((AT34)/12,2)</f>
        <v>6343.26</v>
      </c>
      <c r="AW34" s="17">
        <f t="shared" si="14"/>
        <v>5792.01</v>
      </c>
      <c r="AX34" s="38"/>
      <c r="AY34" s="38"/>
      <c r="AZ34" s="44"/>
      <c r="BA34" s="45"/>
      <c r="BB34" s="45"/>
      <c r="BC34" s="45"/>
      <c r="BD34" s="45"/>
    </row>
    <row r="35" spans="1:56" s="21" customFormat="1" ht="36" x14ac:dyDescent="0.25">
      <c r="A35" s="36"/>
      <c r="B35" s="31">
        <v>55</v>
      </c>
      <c r="C35" s="31" t="s">
        <v>58</v>
      </c>
      <c r="D35" s="31" t="s">
        <v>96</v>
      </c>
      <c r="E35" s="31">
        <v>199</v>
      </c>
      <c r="F35" s="35" t="s">
        <v>97</v>
      </c>
      <c r="G35" s="31">
        <v>43</v>
      </c>
      <c r="H35" s="9" t="str">
        <f t="shared" si="0"/>
        <v>Жилой комплекс Жагалау-3, 199 36/1 - 43</v>
      </c>
      <c r="I35" s="36"/>
      <c r="J35" s="37"/>
      <c r="K35" s="37">
        <f>IF(V35="Да",ROUND($J$33/O35*T35,2),J35)</f>
        <v>4928356.83</v>
      </c>
      <c r="L35" s="38"/>
      <c r="M35" s="39">
        <f>IF(V35="Да",ROUND($L$33/O35*T35,2),L35)</f>
        <v>4419925.0199999996</v>
      </c>
      <c r="N35" s="36">
        <v>3</v>
      </c>
      <c r="O35" s="36">
        <f>99.5</f>
        <v>99.5</v>
      </c>
      <c r="P35" s="36">
        <v>59.2</v>
      </c>
      <c r="Q35" s="40">
        <v>13.2</v>
      </c>
      <c r="R35" s="40">
        <f>O35-SUM($Q$33:$Q$35)</f>
        <v>40.299999999999997</v>
      </c>
      <c r="S35" s="40">
        <f>R35/SUM($W$33:$W$35)</f>
        <v>13.433333333333332</v>
      </c>
      <c r="T35" s="41">
        <f>ROUND(Q35+S35*W35,2)</f>
        <v>26.63</v>
      </c>
      <c r="U35" s="13" t="s">
        <v>108</v>
      </c>
      <c r="V35" s="36" t="s">
        <v>104</v>
      </c>
      <c r="W35" s="31">
        <v>1</v>
      </c>
      <c r="X35" s="7" t="s">
        <v>109</v>
      </c>
      <c r="Y35" s="15"/>
      <c r="Z35" s="42">
        <v>19.3</v>
      </c>
      <c r="AA35" s="42" t="s">
        <v>57</v>
      </c>
      <c r="AB35" s="42">
        <f t="shared" si="2"/>
        <v>1.5</v>
      </c>
      <c r="AC35" s="43">
        <f t="shared" si="3"/>
        <v>28.950000000000003</v>
      </c>
      <c r="AD35" s="38">
        <f t="shared" si="4"/>
        <v>770.94</v>
      </c>
      <c r="AE35" s="38">
        <f>ROUND(18938.71/O35*T35,2)</f>
        <v>5068.72</v>
      </c>
      <c r="AF35" s="38">
        <f t="shared" si="5"/>
        <v>4419925.0199999996</v>
      </c>
      <c r="AG35" s="38">
        <f t="shared" si="6"/>
        <v>4414856.3</v>
      </c>
      <c r="AH35" s="38">
        <f t="shared" si="7"/>
        <v>4409787.58</v>
      </c>
      <c r="AI35" s="38">
        <f t="shared" si="8"/>
        <v>4404718.8600000003</v>
      </c>
      <c r="AJ35" s="38">
        <f t="shared" si="9"/>
        <v>4399650.1400000006</v>
      </c>
      <c r="AK35" s="38">
        <f t="shared" ref="AK35:AR50" si="18">AJ35-$AE35</f>
        <v>4394581.4200000009</v>
      </c>
      <c r="AL35" s="38">
        <f t="shared" si="18"/>
        <v>4389512.7000000011</v>
      </c>
      <c r="AM35" s="38">
        <f t="shared" si="18"/>
        <v>4384443.9800000014</v>
      </c>
      <c r="AN35" s="38">
        <f t="shared" si="18"/>
        <v>4379375.2600000016</v>
      </c>
      <c r="AO35" s="38">
        <f t="shared" si="18"/>
        <v>4374306.5400000019</v>
      </c>
      <c r="AP35" s="38">
        <f t="shared" si="18"/>
        <v>4369237.8200000022</v>
      </c>
      <c r="AQ35" s="38">
        <f t="shared" si="18"/>
        <v>4364169.1000000024</v>
      </c>
      <c r="AR35" s="17">
        <f t="shared" si="18"/>
        <v>4359100.3800000027</v>
      </c>
      <c r="AS35" s="38">
        <f t="shared" si="16"/>
        <v>65842.69</v>
      </c>
      <c r="AT35" s="38">
        <f t="shared" si="11"/>
        <v>66613.63</v>
      </c>
      <c r="AU35" s="38">
        <f t="shared" si="12"/>
        <v>5068.72</v>
      </c>
      <c r="AV35" s="18">
        <f t="shared" ref="AV35:AV77" si="19">ROUND((AT35)/12,2)</f>
        <v>5551.14</v>
      </c>
      <c r="AW35" s="17">
        <f t="shared" si="14"/>
        <v>5068.72</v>
      </c>
      <c r="AX35" s="38"/>
      <c r="AY35" s="38"/>
      <c r="AZ35" s="44"/>
      <c r="BA35" s="45"/>
      <c r="BB35" s="45"/>
      <c r="BC35" s="45"/>
      <c r="BD35" s="45"/>
    </row>
    <row r="36" spans="1:56" s="21" customFormat="1" ht="36" x14ac:dyDescent="0.25">
      <c r="A36" s="31"/>
      <c r="B36" s="31">
        <v>57</v>
      </c>
      <c r="C36" s="31" t="s">
        <v>58</v>
      </c>
      <c r="D36" s="31" t="s">
        <v>96</v>
      </c>
      <c r="E36" s="31">
        <v>199</v>
      </c>
      <c r="F36" s="35" t="s">
        <v>97</v>
      </c>
      <c r="G36" s="31">
        <v>44</v>
      </c>
      <c r="H36" s="9" t="str">
        <f t="shared" si="0"/>
        <v>Жилой комплекс Жагалау-3, 199 36/1 - 44</v>
      </c>
      <c r="I36" s="36">
        <v>1</v>
      </c>
      <c r="J36" s="37">
        <v>18765880</v>
      </c>
      <c r="K36" s="37">
        <f>ROUND($J$36/O36*T36,2)</f>
        <v>13010269.859999999</v>
      </c>
      <c r="L36" s="38">
        <v>16829906.329999998</v>
      </c>
      <c r="M36" s="39">
        <f>IF(V36="Да",ROUND($L$36/O36*T36,2),L36)</f>
        <v>11668071.15</v>
      </c>
      <c r="N36" s="36">
        <v>3</v>
      </c>
      <c r="O36" s="36">
        <v>101.4</v>
      </c>
      <c r="P36" s="36">
        <v>60.3</v>
      </c>
      <c r="Q36" s="36">
        <f>29.2</f>
        <v>29.2</v>
      </c>
      <c r="R36" s="40">
        <f>O36-SUM($Q$36:$Q$38)</f>
        <v>41.100000000000009</v>
      </c>
      <c r="S36" s="40">
        <f>R36/SUM($W$36:$W$38)</f>
        <v>41.100000000000009</v>
      </c>
      <c r="T36" s="46">
        <f>ROUND(Q36+S36*W36,3)</f>
        <v>70.3</v>
      </c>
      <c r="U36" s="47" t="s">
        <v>110</v>
      </c>
      <c r="V36" s="48" t="s">
        <v>104</v>
      </c>
      <c r="W36" s="31">
        <v>1</v>
      </c>
      <c r="X36" s="7" t="s">
        <v>111</v>
      </c>
      <c r="Y36" s="15"/>
      <c r="Z36" s="42">
        <v>19.3</v>
      </c>
      <c r="AA36" s="42" t="s">
        <v>57</v>
      </c>
      <c r="AB36" s="42">
        <f t="shared" si="2"/>
        <v>1.5</v>
      </c>
      <c r="AC36" s="43">
        <f t="shared" si="3"/>
        <v>28.950000000000003</v>
      </c>
      <c r="AD36" s="38">
        <f t="shared" si="4"/>
        <v>2035.19</v>
      </c>
      <c r="AE36" s="38">
        <f>ROUND(19300.35/O36*T36,2)</f>
        <v>13380.81</v>
      </c>
      <c r="AF36" s="38">
        <f t="shared" si="5"/>
        <v>11668071.15</v>
      </c>
      <c r="AG36" s="38">
        <f t="shared" si="6"/>
        <v>11654690.34</v>
      </c>
      <c r="AH36" s="38">
        <f t="shared" si="7"/>
        <v>11641309.529999999</v>
      </c>
      <c r="AI36" s="38">
        <f t="shared" si="8"/>
        <v>11627928.719999999</v>
      </c>
      <c r="AJ36" s="38">
        <f t="shared" si="9"/>
        <v>11614547.909999998</v>
      </c>
      <c r="AK36" s="38">
        <f t="shared" si="18"/>
        <v>11601167.099999998</v>
      </c>
      <c r="AL36" s="38">
        <f t="shared" si="18"/>
        <v>11587786.289999997</v>
      </c>
      <c r="AM36" s="38">
        <f t="shared" si="18"/>
        <v>11574405.479999997</v>
      </c>
      <c r="AN36" s="38">
        <f t="shared" si="18"/>
        <v>11561024.669999996</v>
      </c>
      <c r="AO36" s="38">
        <f t="shared" si="18"/>
        <v>11547643.859999996</v>
      </c>
      <c r="AP36" s="38">
        <f t="shared" si="18"/>
        <v>11534263.049999995</v>
      </c>
      <c r="AQ36" s="38">
        <f t="shared" si="18"/>
        <v>11520882.239999995</v>
      </c>
      <c r="AR36" s="17">
        <f t="shared" si="18"/>
        <v>11507501.429999994</v>
      </c>
      <c r="AS36" s="38">
        <f t="shared" si="16"/>
        <v>173816.79</v>
      </c>
      <c r="AT36" s="38">
        <f t="shared" si="11"/>
        <v>175851.98</v>
      </c>
      <c r="AU36" s="38">
        <f t="shared" si="12"/>
        <v>13380.81</v>
      </c>
      <c r="AV36" s="18">
        <f t="shared" si="19"/>
        <v>14654.33</v>
      </c>
      <c r="AW36" s="17">
        <f t="shared" si="14"/>
        <v>13380.81</v>
      </c>
      <c r="AX36" s="38"/>
      <c r="AY36" s="38"/>
      <c r="AZ36" s="44"/>
      <c r="BA36" s="45"/>
      <c r="BB36" s="45"/>
      <c r="BC36" s="45"/>
      <c r="BD36" s="45"/>
    </row>
    <row r="37" spans="1:56" s="64" customFormat="1" ht="36" x14ac:dyDescent="0.25">
      <c r="A37" s="49"/>
      <c r="B37" s="49">
        <v>58</v>
      </c>
      <c r="C37" s="49" t="s">
        <v>58</v>
      </c>
      <c r="D37" s="49" t="s">
        <v>96</v>
      </c>
      <c r="E37" s="49">
        <v>199</v>
      </c>
      <c r="F37" s="50" t="s">
        <v>97</v>
      </c>
      <c r="G37" s="49">
        <v>44</v>
      </c>
      <c r="H37" s="49" t="str">
        <f t="shared" si="0"/>
        <v>Жилой комплекс Жагалау-3, 199 36/1 - 44</v>
      </c>
      <c r="I37" s="51"/>
      <c r="J37" s="52"/>
      <c r="K37" s="52">
        <f>ROUND($J$36/O37*T37,2)</f>
        <v>3294207.73</v>
      </c>
      <c r="L37" s="53"/>
      <c r="M37" s="54">
        <f>IF(V37="Да",ROUND($L$36/O37*T37,2),L37)</f>
        <v>2954362.26</v>
      </c>
      <c r="N37" s="51">
        <v>3</v>
      </c>
      <c r="O37" s="51">
        <v>101.4</v>
      </c>
      <c r="P37" s="51">
        <v>60.3</v>
      </c>
      <c r="Q37" s="51">
        <f>17.8</f>
        <v>17.8</v>
      </c>
      <c r="R37" s="55">
        <f>O37-SUM($Q$36:$Q$38)</f>
        <v>41.100000000000009</v>
      </c>
      <c r="S37" s="55">
        <f>R37/SUM($W$36:$W$38)</f>
        <v>41.100000000000009</v>
      </c>
      <c r="T37" s="56">
        <f>ROUND(Q37+S37*W37,3)</f>
        <v>17.8</v>
      </c>
      <c r="U37" s="57" t="s">
        <v>112</v>
      </c>
      <c r="V37" s="58" t="s">
        <v>104</v>
      </c>
      <c r="W37" s="49">
        <v>0</v>
      </c>
      <c r="X37" s="49" t="s">
        <v>113</v>
      </c>
      <c r="Y37" s="59"/>
      <c r="Z37" s="59">
        <v>19.3</v>
      </c>
      <c r="AA37" s="59" t="s">
        <v>57</v>
      </c>
      <c r="AB37" s="59">
        <f t="shared" si="2"/>
        <v>1.5</v>
      </c>
      <c r="AC37" s="60">
        <f t="shared" si="3"/>
        <v>28.950000000000003</v>
      </c>
      <c r="AD37" s="53">
        <f t="shared" si="4"/>
        <v>515.30999999999995</v>
      </c>
      <c r="AE37" s="53">
        <f>ROUND(19300.35/O37*T37,2)</f>
        <v>3388.03</v>
      </c>
      <c r="AF37" s="53">
        <f t="shared" si="5"/>
        <v>2954362.26</v>
      </c>
      <c r="AG37" s="53">
        <f t="shared" si="6"/>
        <v>2950974.23</v>
      </c>
      <c r="AH37" s="53">
        <f t="shared" si="7"/>
        <v>2947586.2</v>
      </c>
      <c r="AI37" s="53">
        <f t="shared" si="8"/>
        <v>2944198.1700000004</v>
      </c>
      <c r="AJ37" s="53">
        <f t="shared" si="9"/>
        <v>2940810.1400000006</v>
      </c>
      <c r="AK37" s="53">
        <f t="shared" si="18"/>
        <v>2937422.1100000008</v>
      </c>
      <c r="AL37" s="53">
        <f t="shared" si="18"/>
        <v>2934034.080000001</v>
      </c>
      <c r="AM37" s="53">
        <f t="shared" si="18"/>
        <v>2930646.0500000012</v>
      </c>
      <c r="AN37" s="53">
        <f t="shared" si="18"/>
        <v>2927258.0200000014</v>
      </c>
      <c r="AO37" s="53">
        <f t="shared" si="18"/>
        <v>2923869.9900000016</v>
      </c>
      <c r="AP37" s="53">
        <f t="shared" si="18"/>
        <v>2920481.9600000018</v>
      </c>
      <c r="AQ37" s="53">
        <f t="shared" si="18"/>
        <v>2917093.930000002</v>
      </c>
      <c r="AR37" s="53">
        <f t="shared" si="18"/>
        <v>2913705.9000000022</v>
      </c>
      <c r="AS37" s="53">
        <f t="shared" si="16"/>
        <v>44010.51</v>
      </c>
      <c r="AT37" s="53">
        <f t="shared" si="11"/>
        <v>44525.82</v>
      </c>
      <c r="AU37" s="53">
        <f t="shared" si="12"/>
        <v>3388.03</v>
      </c>
      <c r="AV37" s="61">
        <f t="shared" si="19"/>
        <v>3710.49</v>
      </c>
      <c r="AW37" s="53">
        <f t="shared" si="14"/>
        <v>3388.03</v>
      </c>
      <c r="AX37" s="53"/>
      <c r="AY37" s="53"/>
      <c r="AZ37" s="62"/>
      <c r="BA37" s="57"/>
      <c r="BB37" s="63"/>
      <c r="BC37" s="63"/>
      <c r="BD37" s="63"/>
    </row>
    <row r="38" spans="1:56" s="64" customFormat="1" ht="36" x14ac:dyDescent="0.25">
      <c r="A38" s="49"/>
      <c r="B38" s="49">
        <v>59</v>
      </c>
      <c r="C38" s="49" t="s">
        <v>58</v>
      </c>
      <c r="D38" s="49" t="s">
        <v>96</v>
      </c>
      <c r="E38" s="49">
        <v>199</v>
      </c>
      <c r="F38" s="50" t="s">
        <v>97</v>
      </c>
      <c r="G38" s="49">
        <v>44</v>
      </c>
      <c r="H38" s="49" t="str">
        <f t="shared" si="0"/>
        <v>Жилой комплекс Жагалау-3, 199 36/1 - 44</v>
      </c>
      <c r="I38" s="51"/>
      <c r="J38" s="52"/>
      <c r="K38" s="52">
        <f>ROUND($J$36/O38*T38,2)</f>
        <v>2461402.41</v>
      </c>
      <c r="L38" s="53"/>
      <c r="M38" s="54">
        <f>IF(V38="Да",ROUND($L$36/O38*T38,2)-0.01,L38)</f>
        <v>2207472.91</v>
      </c>
      <c r="N38" s="51">
        <v>3</v>
      </c>
      <c r="O38" s="51">
        <v>101.4</v>
      </c>
      <c r="P38" s="51">
        <v>60.3</v>
      </c>
      <c r="Q38" s="51">
        <f>13.3</f>
        <v>13.3</v>
      </c>
      <c r="R38" s="55">
        <f>O38-SUM($Q$36:$Q$38)</f>
        <v>41.100000000000009</v>
      </c>
      <c r="S38" s="55">
        <f>R38/SUM($W$36:$W$38)</f>
        <v>41.100000000000009</v>
      </c>
      <c r="T38" s="56">
        <f>ROUND(Q38+S38*W38,3)</f>
        <v>13.3</v>
      </c>
      <c r="U38" s="65" t="s">
        <v>114</v>
      </c>
      <c r="V38" s="58" t="s">
        <v>104</v>
      </c>
      <c r="W38" s="49">
        <v>0</v>
      </c>
      <c r="X38" s="49" t="s">
        <v>115</v>
      </c>
      <c r="Y38" s="59"/>
      <c r="Z38" s="59">
        <v>19.3</v>
      </c>
      <c r="AA38" s="59" t="s">
        <v>57</v>
      </c>
      <c r="AB38" s="59">
        <f t="shared" si="2"/>
        <v>1.5</v>
      </c>
      <c r="AC38" s="60">
        <f t="shared" si="3"/>
        <v>28.950000000000003</v>
      </c>
      <c r="AD38" s="53">
        <f t="shared" si="4"/>
        <v>385.04</v>
      </c>
      <c r="AE38" s="53">
        <f>ROUND(19300.35/O38*T38,2)</f>
        <v>2531.5100000000002</v>
      </c>
      <c r="AF38" s="53">
        <f t="shared" si="5"/>
        <v>2207472.91</v>
      </c>
      <c r="AG38" s="53">
        <f t="shared" si="6"/>
        <v>2204941.4000000004</v>
      </c>
      <c r="AH38" s="53">
        <f t="shared" si="7"/>
        <v>2202409.8900000006</v>
      </c>
      <c r="AI38" s="53">
        <f t="shared" si="8"/>
        <v>2199878.3800000008</v>
      </c>
      <c r="AJ38" s="53">
        <f t="shared" si="9"/>
        <v>2197346.870000001</v>
      </c>
      <c r="AK38" s="53">
        <f t="shared" si="18"/>
        <v>2194815.3600000013</v>
      </c>
      <c r="AL38" s="53">
        <f t="shared" si="18"/>
        <v>2192283.8500000015</v>
      </c>
      <c r="AM38" s="53">
        <f t="shared" si="18"/>
        <v>2189752.3400000017</v>
      </c>
      <c r="AN38" s="53">
        <f t="shared" si="18"/>
        <v>2187220.8300000019</v>
      </c>
      <c r="AO38" s="53">
        <f t="shared" si="18"/>
        <v>2184689.3200000022</v>
      </c>
      <c r="AP38" s="53">
        <f t="shared" si="18"/>
        <v>2182157.8100000024</v>
      </c>
      <c r="AQ38" s="53">
        <f t="shared" si="18"/>
        <v>2179626.3000000026</v>
      </c>
      <c r="AR38" s="53">
        <f t="shared" si="18"/>
        <v>2177094.7900000028</v>
      </c>
      <c r="AS38" s="53">
        <f t="shared" si="16"/>
        <v>32884.26</v>
      </c>
      <c r="AT38" s="53">
        <f t="shared" si="11"/>
        <v>33269.300000000003</v>
      </c>
      <c r="AU38" s="53">
        <f t="shared" si="12"/>
        <v>2531.5100000000002</v>
      </c>
      <c r="AV38" s="61">
        <f>ROUNDUP((AT38)/12,2)</f>
        <v>2772.4500000000003</v>
      </c>
      <c r="AW38" s="53">
        <f t="shared" si="14"/>
        <v>2531.5100000000002</v>
      </c>
      <c r="AX38" s="53"/>
      <c r="AY38" s="53"/>
      <c r="AZ38" s="62"/>
      <c r="BA38" s="65"/>
      <c r="BB38" s="63"/>
      <c r="BC38" s="63"/>
      <c r="BD38" s="63"/>
    </row>
    <row r="39" spans="1:56" s="21" customFormat="1" ht="36" x14ac:dyDescent="0.25">
      <c r="A39" s="7"/>
      <c r="B39" s="7">
        <v>60</v>
      </c>
      <c r="C39" s="7" t="s">
        <v>58</v>
      </c>
      <c r="D39" s="7" t="s">
        <v>96</v>
      </c>
      <c r="E39" s="7">
        <v>199</v>
      </c>
      <c r="F39" s="34" t="s">
        <v>97</v>
      </c>
      <c r="G39" s="7">
        <v>45</v>
      </c>
      <c r="H39" s="9" t="str">
        <f t="shared" si="0"/>
        <v>Жилой комплекс Жагалау-3, 199 36/1 - 45</v>
      </c>
      <c r="I39" s="10">
        <v>1</v>
      </c>
      <c r="J39" s="11">
        <v>17618459</v>
      </c>
      <c r="K39" s="11"/>
      <c r="L39" s="12">
        <v>15800858.5</v>
      </c>
      <c r="M39" s="12">
        <f>L39</f>
        <v>15800858.5</v>
      </c>
      <c r="N39" s="10">
        <v>3</v>
      </c>
      <c r="O39" s="10">
        <v>95.2</v>
      </c>
      <c r="P39" s="10">
        <v>57.3</v>
      </c>
      <c r="Q39" s="10"/>
      <c r="R39" s="10"/>
      <c r="S39" s="10"/>
      <c r="T39" s="10"/>
      <c r="U39" s="66" t="s">
        <v>116</v>
      </c>
      <c r="V39" s="14" t="s">
        <v>56</v>
      </c>
      <c r="W39" s="7"/>
      <c r="X39" s="7"/>
      <c r="Y39" s="15"/>
      <c r="Z39" s="15">
        <v>19.3</v>
      </c>
      <c r="AA39" s="15" t="s">
        <v>57</v>
      </c>
      <c r="AB39" s="15">
        <f t="shared" si="2"/>
        <v>1.5</v>
      </c>
      <c r="AC39" s="16">
        <f t="shared" si="3"/>
        <v>28.950000000000003</v>
      </c>
      <c r="AD39" s="12">
        <f t="shared" si="4"/>
        <v>2756.04</v>
      </c>
      <c r="AE39" s="12">
        <v>18120.25</v>
      </c>
      <c r="AF39" s="12">
        <f t="shared" si="5"/>
        <v>15800858.5</v>
      </c>
      <c r="AG39" s="12">
        <f t="shared" si="6"/>
        <v>15782738.25</v>
      </c>
      <c r="AH39" s="12">
        <f t="shared" si="7"/>
        <v>15764618</v>
      </c>
      <c r="AI39" s="12">
        <f t="shared" si="8"/>
        <v>15746497.75</v>
      </c>
      <c r="AJ39" s="12">
        <f t="shared" si="9"/>
        <v>15728377.5</v>
      </c>
      <c r="AK39" s="12">
        <f t="shared" si="18"/>
        <v>15710257.25</v>
      </c>
      <c r="AL39" s="12">
        <f t="shared" si="18"/>
        <v>15692137</v>
      </c>
      <c r="AM39" s="12">
        <f t="shared" si="18"/>
        <v>15674016.75</v>
      </c>
      <c r="AN39" s="12">
        <f t="shared" si="18"/>
        <v>15655896.5</v>
      </c>
      <c r="AO39" s="12">
        <f t="shared" si="18"/>
        <v>15637776.25</v>
      </c>
      <c r="AP39" s="12">
        <f t="shared" si="18"/>
        <v>15619656</v>
      </c>
      <c r="AQ39" s="12">
        <f t="shared" si="18"/>
        <v>15601535.75</v>
      </c>
      <c r="AR39" s="17">
        <f t="shared" si="18"/>
        <v>15583415.5</v>
      </c>
      <c r="AS39" s="12">
        <f t="shared" si="16"/>
        <v>235382.06</v>
      </c>
      <c r="AT39" s="12">
        <f t="shared" si="11"/>
        <v>238138.1</v>
      </c>
      <c r="AU39" s="12">
        <f t="shared" si="12"/>
        <v>18120.25</v>
      </c>
      <c r="AV39" s="18">
        <f t="shared" si="19"/>
        <v>19844.84</v>
      </c>
      <c r="AW39" s="17">
        <f t="shared" si="14"/>
        <v>18120.25</v>
      </c>
      <c r="AX39" s="12"/>
      <c r="AY39" s="12"/>
      <c r="AZ39" s="19"/>
      <c r="BA39" s="20"/>
      <c r="BB39" s="20"/>
      <c r="BC39" s="20"/>
      <c r="BD39" s="20"/>
    </row>
    <row r="40" spans="1:56" s="69" customFormat="1" ht="36" x14ac:dyDescent="0.25">
      <c r="A40" s="31"/>
      <c r="B40" s="31">
        <v>63</v>
      </c>
      <c r="C40" s="31" t="s">
        <v>51</v>
      </c>
      <c r="D40" s="31" t="s">
        <v>117</v>
      </c>
      <c r="E40" s="31">
        <v>188</v>
      </c>
      <c r="F40" s="35">
        <v>7</v>
      </c>
      <c r="G40" s="31">
        <v>177</v>
      </c>
      <c r="H40" s="31" t="str">
        <f t="shared" si="0"/>
        <v>Жилой комплекс Сапа-2007, 188 7 - 177</v>
      </c>
      <c r="I40" s="36">
        <v>1</v>
      </c>
      <c r="J40" s="37">
        <v>13399839</v>
      </c>
      <c r="K40" s="37">
        <f>ROUND($J$40/O40*T40,2)</f>
        <v>3578245.44</v>
      </c>
      <c r="L40" s="38">
        <v>12135134.98</v>
      </c>
      <c r="M40" s="38">
        <f>IF(V40="Да",ROUND($L$40/O40*T40,2),L40)</f>
        <v>3240523.37</v>
      </c>
      <c r="N40" s="36">
        <v>2</v>
      </c>
      <c r="O40" s="36">
        <f>63.1</f>
        <v>63.1</v>
      </c>
      <c r="P40" s="36">
        <v>44.1</v>
      </c>
      <c r="Q40" s="36">
        <v>12.1</v>
      </c>
      <c r="R40" s="40">
        <f>O40-SUM($Q$40:$Q$42)</f>
        <v>19.000000000000007</v>
      </c>
      <c r="S40" s="40">
        <f>R40/SUM($W$40:$W$42)</f>
        <v>9.5000000000000036</v>
      </c>
      <c r="T40" s="36">
        <f>ROUND(Q40+S40*W40,2)</f>
        <v>16.850000000000001</v>
      </c>
      <c r="U40" s="67" t="s">
        <v>118</v>
      </c>
      <c r="V40" s="36" t="s">
        <v>104</v>
      </c>
      <c r="W40" s="31">
        <v>0.5</v>
      </c>
      <c r="X40" s="31" t="s">
        <v>119</v>
      </c>
      <c r="Y40" s="42"/>
      <c r="Z40" s="42">
        <v>19.3</v>
      </c>
      <c r="AA40" s="42" t="s">
        <v>89</v>
      </c>
      <c r="AB40" s="42">
        <f t="shared" si="2"/>
        <v>1.4</v>
      </c>
      <c r="AC40" s="43">
        <f t="shared" si="3"/>
        <v>27.02</v>
      </c>
      <c r="AD40" s="38">
        <f t="shared" si="4"/>
        <v>455.29</v>
      </c>
      <c r="AE40" s="38">
        <f>ROUNDUP(12233/O40*T40,2)</f>
        <v>3266.6600000000003</v>
      </c>
      <c r="AF40" s="38">
        <f t="shared" si="5"/>
        <v>3240523.37</v>
      </c>
      <c r="AG40" s="38">
        <f t="shared" si="6"/>
        <v>3237256.71</v>
      </c>
      <c r="AH40" s="38">
        <f t="shared" si="7"/>
        <v>3233990.05</v>
      </c>
      <c r="AI40" s="38">
        <f t="shared" si="8"/>
        <v>3230723.3899999997</v>
      </c>
      <c r="AJ40" s="38">
        <f t="shared" si="9"/>
        <v>3227456.7299999995</v>
      </c>
      <c r="AK40" s="38">
        <f t="shared" si="18"/>
        <v>3224190.0699999994</v>
      </c>
      <c r="AL40" s="38">
        <f t="shared" si="18"/>
        <v>3220923.4099999992</v>
      </c>
      <c r="AM40" s="38">
        <f t="shared" si="18"/>
        <v>3217656.7499999991</v>
      </c>
      <c r="AN40" s="38">
        <f t="shared" si="18"/>
        <v>3214390.0899999989</v>
      </c>
      <c r="AO40" s="38">
        <f t="shared" si="18"/>
        <v>3211123.4299999988</v>
      </c>
      <c r="AP40" s="38">
        <f t="shared" si="18"/>
        <v>3207856.7699999986</v>
      </c>
      <c r="AQ40" s="38">
        <f t="shared" si="18"/>
        <v>3204590.1099999985</v>
      </c>
      <c r="AR40" s="38">
        <f t="shared" si="18"/>
        <v>3201323.4499999983</v>
      </c>
      <c r="AS40" s="38">
        <f t="shared" si="16"/>
        <v>48313.85</v>
      </c>
      <c r="AT40" s="38">
        <f t="shared" si="11"/>
        <v>48769.14</v>
      </c>
      <c r="AU40" s="38">
        <f t="shared" si="12"/>
        <v>3266.6600000000003</v>
      </c>
      <c r="AV40" s="68">
        <f t="shared" si="19"/>
        <v>4064.1</v>
      </c>
      <c r="AW40" s="38">
        <f t="shared" si="14"/>
        <v>3266.6600000000003</v>
      </c>
      <c r="AX40" s="38"/>
      <c r="AY40" s="38"/>
      <c r="AZ40" s="44"/>
      <c r="BA40" s="67"/>
      <c r="BB40" s="45" t="s">
        <v>120</v>
      </c>
      <c r="BC40" s="45"/>
      <c r="BD40" s="45"/>
    </row>
    <row r="41" spans="1:56" s="69" customFormat="1" ht="36" x14ac:dyDescent="0.25">
      <c r="A41" s="31"/>
      <c r="B41" s="31"/>
      <c r="C41" s="31" t="s">
        <v>51</v>
      </c>
      <c r="D41" s="31" t="s">
        <v>121</v>
      </c>
      <c r="E41" s="31">
        <v>188</v>
      </c>
      <c r="F41" s="35">
        <v>7</v>
      </c>
      <c r="G41" s="31">
        <v>177</v>
      </c>
      <c r="H41" s="31" t="str">
        <f t="shared" si="0"/>
        <v>Жилой комплекс Сапа-2008, 188 7 - 177</v>
      </c>
      <c r="I41" s="36"/>
      <c r="J41" s="37"/>
      <c r="K41" s="37"/>
      <c r="L41" s="38"/>
      <c r="M41" s="38">
        <f>IF(V41="Да",ROUND($L$40/O41*T41,2),L41)</f>
        <v>3240523.37</v>
      </c>
      <c r="N41" s="36">
        <v>2</v>
      </c>
      <c r="O41" s="36">
        <v>63.1</v>
      </c>
      <c r="P41" s="36">
        <v>44.1</v>
      </c>
      <c r="Q41" s="36">
        <v>12.1</v>
      </c>
      <c r="R41" s="40">
        <f>O41-SUM($Q$40:$Q$42)</f>
        <v>19.000000000000007</v>
      </c>
      <c r="S41" s="40">
        <f>R41/SUM($W$40:$W$42)</f>
        <v>9.5000000000000036</v>
      </c>
      <c r="T41" s="36">
        <f>ROUND(Q41+S41*W41,2)</f>
        <v>16.850000000000001</v>
      </c>
      <c r="U41" s="67" t="s">
        <v>122</v>
      </c>
      <c r="V41" s="36" t="s">
        <v>104</v>
      </c>
      <c r="W41" s="31">
        <v>0.5</v>
      </c>
      <c r="X41" s="31"/>
      <c r="Y41" s="42"/>
      <c r="Z41" s="42">
        <v>19.3</v>
      </c>
      <c r="AA41" s="42" t="s">
        <v>89</v>
      </c>
      <c r="AB41" s="42">
        <f t="shared" si="2"/>
        <v>1.4</v>
      </c>
      <c r="AC41" s="43">
        <f t="shared" si="3"/>
        <v>27.02</v>
      </c>
      <c r="AD41" s="38">
        <f t="shared" si="4"/>
        <v>455.29</v>
      </c>
      <c r="AE41" s="38">
        <f>ROUNDUP(12233/O41*T41,2)</f>
        <v>3266.6600000000003</v>
      </c>
      <c r="AF41" s="38">
        <f t="shared" si="5"/>
        <v>3240523.37</v>
      </c>
      <c r="AG41" s="38">
        <f t="shared" si="6"/>
        <v>3237256.71</v>
      </c>
      <c r="AH41" s="38">
        <f t="shared" si="7"/>
        <v>3233990.05</v>
      </c>
      <c r="AI41" s="38">
        <f t="shared" si="8"/>
        <v>3230723.3899999997</v>
      </c>
      <c r="AJ41" s="38">
        <f t="shared" si="9"/>
        <v>3227456.7299999995</v>
      </c>
      <c r="AK41" s="38">
        <f t="shared" si="18"/>
        <v>3224190.0699999994</v>
      </c>
      <c r="AL41" s="38">
        <f t="shared" si="18"/>
        <v>3220923.4099999992</v>
      </c>
      <c r="AM41" s="38">
        <f t="shared" si="18"/>
        <v>3217656.7499999991</v>
      </c>
      <c r="AN41" s="38">
        <f t="shared" si="18"/>
        <v>3214390.0899999989</v>
      </c>
      <c r="AO41" s="38">
        <f t="shared" si="18"/>
        <v>3211123.4299999988</v>
      </c>
      <c r="AP41" s="38">
        <f t="shared" si="18"/>
        <v>3207856.7699999986</v>
      </c>
      <c r="AQ41" s="38">
        <f t="shared" si="18"/>
        <v>3204590.1099999985</v>
      </c>
      <c r="AR41" s="38">
        <f t="shared" si="18"/>
        <v>3201323.4499999983</v>
      </c>
      <c r="AS41" s="38">
        <f t="shared" si="16"/>
        <v>48313.85</v>
      </c>
      <c r="AT41" s="38">
        <f t="shared" si="11"/>
        <v>48769.14</v>
      </c>
      <c r="AU41" s="38">
        <f t="shared" si="12"/>
        <v>3266.6600000000003</v>
      </c>
      <c r="AV41" s="68">
        <f t="shared" si="19"/>
        <v>4064.1</v>
      </c>
      <c r="AW41" s="38">
        <f t="shared" si="14"/>
        <v>3266.6600000000003</v>
      </c>
      <c r="AX41" s="38"/>
      <c r="AY41" s="38"/>
      <c r="AZ41" s="44"/>
      <c r="BA41" s="67"/>
      <c r="BB41" s="45" t="s">
        <v>123</v>
      </c>
      <c r="BC41" s="45"/>
      <c r="BD41" s="45"/>
    </row>
    <row r="42" spans="1:56" s="21" customFormat="1" ht="36" x14ac:dyDescent="0.25">
      <c r="A42" s="36"/>
      <c r="B42" s="31">
        <v>64</v>
      </c>
      <c r="C42" s="31" t="s">
        <v>51</v>
      </c>
      <c r="D42" s="31" t="s">
        <v>117</v>
      </c>
      <c r="E42" s="31">
        <v>188</v>
      </c>
      <c r="F42" s="35">
        <v>7</v>
      </c>
      <c r="G42" s="31">
        <v>177</v>
      </c>
      <c r="H42" s="31" t="str">
        <f t="shared" si="0"/>
        <v>Жилой комплекс Сапа-2007, 188 7 - 177</v>
      </c>
      <c r="I42" s="36"/>
      <c r="J42" s="37"/>
      <c r="K42" s="37">
        <f>ROUND($J$40/O42*T42,2)</f>
        <v>6243348.1200000001</v>
      </c>
      <c r="L42" s="38"/>
      <c r="M42" s="38">
        <f>IF(V42="Да",ROUND($L$40/O42*T42,2),L42)</f>
        <v>5654088.25</v>
      </c>
      <c r="N42" s="36">
        <v>2</v>
      </c>
      <c r="O42" s="36">
        <f>63.1</f>
        <v>63.1</v>
      </c>
      <c r="P42" s="36">
        <v>44.1</v>
      </c>
      <c r="Q42" s="36">
        <f>9.95*2</f>
        <v>19.899999999999999</v>
      </c>
      <c r="R42" s="40">
        <f>O42-SUM($Q$40:$Q$42)</f>
        <v>19.000000000000007</v>
      </c>
      <c r="S42" s="40">
        <f>R42/SUM($W$40:$W$42)</f>
        <v>9.5000000000000036</v>
      </c>
      <c r="T42" s="36">
        <f>ROUND(Q42+S42*W42,2)</f>
        <v>29.4</v>
      </c>
      <c r="U42" s="13" t="s">
        <v>124</v>
      </c>
      <c r="V42" s="36" t="s">
        <v>104</v>
      </c>
      <c r="W42" s="31">
        <v>1</v>
      </c>
      <c r="X42" s="7" t="s">
        <v>125</v>
      </c>
      <c r="Y42" s="15"/>
      <c r="Z42" s="42">
        <v>19.3</v>
      </c>
      <c r="AA42" s="42" t="s">
        <v>89</v>
      </c>
      <c r="AB42" s="42">
        <f t="shared" si="2"/>
        <v>1.4</v>
      </c>
      <c r="AC42" s="43">
        <f t="shared" si="3"/>
        <v>27.02</v>
      </c>
      <c r="AD42" s="38">
        <f t="shared" si="4"/>
        <v>794.39</v>
      </c>
      <c r="AE42" s="38">
        <f>ROUND(12233/O42*T42,2)</f>
        <v>5699.69</v>
      </c>
      <c r="AF42" s="38">
        <f t="shared" si="5"/>
        <v>5654088.25</v>
      </c>
      <c r="AG42" s="38">
        <f t="shared" si="6"/>
        <v>5648388.5599999996</v>
      </c>
      <c r="AH42" s="38">
        <f t="shared" si="7"/>
        <v>5642688.8699999992</v>
      </c>
      <c r="AI42" s="38">
        <f t="shared" si="8"/>
        <v>5636989.1799999988</v>
      </c>
      <c r="AJ42" s="38">
        <f t="shared" si="9"/>
        <v>5631289.4899999984</v>
      </c>
      <c r="AK42" s="38">
        <f t="shared" si="18"/>
        <v>5625589.799999998</v>
      </c>
      <c r="AL42" s="38">
        <f t="shared" si="18"/>
        <v>5619890.1099999975</v>
      </c>
      <c r="AM42" s="38">
        <f t="shared" si="18"/>
        <v>5614190.4199999971</v>
      </c>
      <c r="AN42" s="38">
        <f t="shared" si="18"/>
        <v>5608490.7299999967</v>
      </c>
      <c r="AO42" s="38">
        <f t="shared" si="18"/>
        <v>5602791.0399999963</v>
      </c>
      <c r="AP42" s="38">
        <f t="shared" si="18"/>
        <v>5597091.3499999959</v>
      </c>
      <c r="AQ42" s="38">
        <f t="shared" si="18"/>
        <v>5591391.6599999955</v>
      </c>
      <c r="AR42" s="17">
        <f t="shared" si="18"/>
        <v>5585691.9699999951</v>
      </c>
      <c r="AS42" s="38">
        <f t="shared" si="16"/>
        <v>84298.35</v>
      </c>
      <c r="AT42" s="38">
        <f t="shared" si="11"/>
        <v>85092.74</v>
      </c>
      <c r="AU42" s="38">
        <f t="shared" si="12"/>
        <v>5699.69</v>
      </c>
      <c r="AV42" s="18">
        <f t="shared" si="19"/>
        <v>7091.06</v>
      </c>
      <c r="AW42" s="17">
        <f t="shared" si="14"/>
        <v>5699.69</v>
      </c>
      <c r="AX42" s="38"/>
      <c r="AY42" s="38"/>
      <c r="AZ42" s="44"/>
      <c r="BA42" s="45"/>
      <c r="BB42" s="45"/>
      <c r="BC42" s="45"/>
      <c r="BD42" s="45"/>
    </row>
    <row r="43" spans="1:56" s="21" customFormat="1" ht="36" x14ac:dyDescent="0.25">
      <c r="A43" s="31"/>
      <c r="B43" s="31">
        <v>65</v>
      </c>
      <c r="C43" s="31" t="s">
        <v>51</v>
      </c>
      <c r="D43" s="31" t="s">
        <v>117</v>
      </c>
      <c r="E43" s="31">
        <v>188</v>
      </c>
      <c r="F43" s="35">
        <v>7</v>
      </c>
      <c r="G43" s="31">
        <v>181</v>
      </c>
      <c r="H43" s="31" t="str">
        <f t="shared" si="0"/>
        <v>Жилой комплекс Сапа-2007, 188 7 - 181</v>
      </c>
      <c r="I43" s="36">
        <v>1</v>
      </c>
      <c r="J43" s="37">
        <v>14036915</v>
      </c>
      <c r="K43" s="37"/>
      <c r="L43" s="38">
        <v>12712082.500000019</v>
      </c>
      <c r="M43" s="38">
        <f>L43</f>
        <v>12712082.500000019</v>
      </c>
      <c r="N43" s="36">
        <v>2</v>
      </c>
      <c r="O43" s="36">
        <f>66.1</f>
        <v>66.099999999999994</v>
      </c>
      <c r="P43" s="36">
        <v>46.4</v>
      </c>
      <c r="Q43" s="36"/>
      <c r="R43" s="36"/>
      <c r="S43" s="36"/>
      <c r="T43" s="36"/>
      <c r="U43" s="13" t="s">
        <v>126</v>
      </c>
      <c r="V43" s="36" t="s">
        <v>56</v>
      </c>
      <c r="W43" s="31"/>
      <c r="X43" s="7"/>
      <c r="Y43" s="15"/>
      <c r="Z43" s="42">
        <v>19.3</v>
      </c>
      <c r="AA43" s="42" t="s">
        <v>89</v>
      </c>
      <c r="AB43" s="42">
        <f t="shared" si="2"/>
        <v>1.4</v>
      </c>
      <c r="AC43" s="43">
        <f t="shared" si="3"/>
        <v>27.02</v>
      </c>
      <c r="AD43" s="38">
        <f t="shared" si="4"/>
        <v>1786.02</v>
      </c>
      <c r="AE43" s="38">
        <f>12814.6</f>
        <v>12814.6</v>
      </c>
      <c r="AF43" s="38">
        <f t="shared" si="5"/>
        <v>12712082.500000019</v>
      </c>
      <c r="AG43" s="38">
        <f t="shared" si="6"/>
        <v>12699267.900000019</v>
      </c>
      <c r="AH43" s="38">
        <f t="shared" si="7"/>
        <v>12686453.300000019</v>
      </c>
      <c r="AI43" s="38">
        <f t="shared" si="8"/>
        <v>12673638.70000002</v>
      </c>
      <c r="AJ43" s="38">
        <f t="shared" si="9"/>
        <v>12660824.10000002</v>
      </c>
      <c r="AK43" s="38">
        <f t="shared" si="18"/>
        <v>12648009.50000002</v>
      </c>
      <c r="AL43" s="38">
        <f t="shared" si="18"/>
        <v>12635194.900000021</v>
      </c>
      <c r="AM43" s="38">
        <f t="shared" si="18"/>
        <v>12622380.300000021</v>
      </c>
      <c r="AN43" s="38">
        <f t="shared" si="18"/>
        <v>12609565.700000022</v>
      </c>
      <c r="AO43" s="38">
        <f t="shared" si="18"/>
        <v>12596751.100000022</v>
      </c>
      <c r="AP43" s="38">
        <f t="shared" si="18"/>
        <v>12583936.500000022</v>
      </c>
      <c r="AQ43" s="38">
        <f t="shared" si="18"/>
        <v>12571121.900000023</v>
      </c>
      <c r="AR43" s="17">
        <f t="shared" si="18"/>
        <v>12558307.300000023</v>
      </c>
      <c r="AS43" s="38">
        <f t="shared" si="16"/>
        <v>189527.92</v>
      </c>
      <c r="AT43" s="38">
        <f t="shared" si="11"/>
        <v>191313.94</v>
      </c>
      <c r="AU43" s="38">
        <f t="shared" si="12"/>
        <v>12814.6</v>
      </c>
      <c r="AV43" s="18">
        <f t="shared" si="19"/>
        <v>15942.83</v>
      </c>
      <c r="AW43" s="17">
        <f t="shared" si="14"/>
        <v>12814.6</v>
      </c>
      <c r="AX43" s="38"/>
      <c r="AY43" s="38"/>
      <c r="AZ43" s="44"/>
      <c r="BA43" s="45"/>
      <c r="BB43" s="45"/>
      <c r="BC43" s="45"/>
      <c r="BD43" s="45"/>
    </row>
    <row r="44" spans="1:56" s="21" customFormat="1" ht="36" x14ac:dyDescent="0.25">
      <c r="A44" s="7"/>
      <c r="B44" s="7">
        <v>66</v>
      </c>
      <c r="C44" s="7" t="s">
        <v>51</v>
      </c>
      <c r="D44" s="7" t="s">
        <v>117</v>
      </c>
      <c r="E44" s="7">
        <v>188</v>
      </c>
      <c r="F44" s="34">
        <v>7</v>
      </c>
      <c r="G44" s="7">
        <v>183</v>
      </c>
      <c r="H44" s="9" t="str">
        <f t="shared" si="0"/>
        <v>Жилой комплекс Сапа-2007, 188 7 - 183</v>
      </c>
      <c r="I44" s="10">
        <v>1</v>
      </c>
      <c r="J44" s="11">
        <v>13336131</v>
      </c>
      <c r="K44" s="11"/>
      <c r="L44" s="12">
        <v>12077439.960000006</v>
      </c>
      <c r="M44" s="12">
        <f>L44</f>
        <v>12077439.960000006</v>
      </c>
      <c r="N44" s="10">
        <v>2</v>
      </c>
      <c r="O44" s="10">
        <v>62.8</v>
      </c>
      <c r="P44" s="10">
        <v>43.7</v>
      </c>
      <c r="Q44" s="10"/>
      <c r="R44" s="10"/>
      <c r="S44" s="10"/>
      <c r="T44" s="10"/>
      <c r="U44" s="13" t="s">
        <v>127</v>
      </c>
      <c r="V44" s="14" t="s">
        <v>56</v>
      </c>
      <c r="W44" s="7"/>
      <c r="X44" s="7"/>
      <c r="Y44" s="15"/>
      <c r="Z44" s="15">
        <v>19.3</v>
      </c>
      <c r="AA44" s="15" t="s">
        <v>89</v>
      </c>
      <c r="AB44" s="15">
        <f t="shared" si="2"/>
        <v>1.4</v>
      </c>
      <c r="AC44" s="16">
        <f t="shared" si="3"/>
        <v>27.02</v>
      </c>
      <c r="AD44" s="12">
        <f t="shared" si="4"/>
        <v>1696.86</v>
      </c>
      <c r="AE44" s="12">
        <v>12174.84</v>
      </c>
      <c r="AF44" s="12">
        <f t="shared" si="5"/>
        <v>12077439.960000006</v>
      </c>
      <c r="AG44" s="12">
        <f t="shared" si="6"/>
        <v>12065265.120000007</v>
      </c>
      <c r="AH44" s="12">
        <f t="shared" si="7"/>
        <v>12053090.280000007</v>
      </c>
      <c r="AI44" s="12">
        <f t="shared" si="8"/>
        <v>12040915.440000007</v>
      </c>
      <c r="AJ44" s="12">
        <f t="shared" si="9"/>
        <v>12028740.600000007</v>
      </c>
      <c r="AK44" s="12">
        <f t="shared" si="18"/>
        <v>12016565.760000007</v>
      </c>
      <c r="AL44" s="12">
        <f t="shared" si="18"/>
        <v>12004390.920000007</v>
      </c>
      <c r="AM44" s="12">
        <f t="shared" si="18"/>
        <v>11992216.080000008</v>
      </c>
      <c r="AN44" s="12">
        <f t="shared" si="18"/>
        <v>11980041.240000008</v>
      </c>
      <c r="AO44" s="12">
        <f t="shared" si="18"/>
        <v>11967866.400000008</v>
      </c>
      <c r="AP44" s="12">
        <f t="shared" si="18"/>
        <v>11955691.560000008</v>
      </c>
      <c r="AQ44" s="12">
        <f t="shared" si="18"/>
        <v>11943516.720000008</v>
      </c>
      <c r="AR44" s="17">
        <f t="shared" si="18"/>
        <v>11931341.880000008</v>
      </c>
      <c r="AS44" s="12">
        <f t="shared" si="16"/>
        <v>180065.86</v>
      </c>
      <c r="AT44" s="12">
        <f t="shared" si="11"/>
        <v>181762.71999999997</v>
      </c>
      <c r="AU44" s="12">
        <f t="shared" si="12"/>
        <v>12174.84</v>
      </c>
      <c r="AV44" s="18">
        <f t="shared" si="19"/>
        <v>15146.89</v>
      </c>
      <c r="AW44" s="17">
        <f t="shared" si="14"/>
        <v>12174.84</v>
      </c>
      <c r="AX44" s="12"/>
      <c r="AY44" s="12"/>
      <c r="AZ44" s="19"/>
      <c r="BA44" s="20"/>
      <c r="BB44" s="20"/>
      <c r="BC44" s="20"/>
      <c r="BD44" s="20"/>
    </row>
    <row r="45" spans="1:56" s="21" customFormat="1" ht="36" x14ac:dyDescent="0.25">
      <c r="A45" s="31"/>
      <c r="B45" s="31">
        <v>69</v>
      </c>
      <c r="C45" s="31" t="s">
        <v>51</v>
      </c>
      <c r="D45" s="31" t="s">
        <v>117</v>
      </c>
      <c r="E45" s="31">
        <v>188</v>
      </c>
      <c r="F45" s="35">
        <v>7</v>
      </c>
      <c r="G45" s="31">
        <v>242</v>
      </c>
      <c r="H45" s="31" t="str">
        <f t="shared" si="0"/>
        <v>Жилой комплекс Сапа-2007, 188 7 - 242</v>
      </c>
      <c r="I45" s="36">
        <v>1</v>
      </c>
      <c r="J45" s="37">
        <f>13336131</f>
        <v>13336131</v>
      </c>
      <c r="K45" s="37">
        <f>ROUNDUP($J$45/O45*T45,2)</f>
        <v>5457620.4900000002</v>
      </c>
      <c r="L45" s="38">
        <v>12077439.960000001</v>
      </c>
      <c r="M45" s="38">
        <f>IF(V45="Да",ROUND($L$45/O45*T45,2),L45)</f>
        <v>4942519.22</v>
      </c>
      <c r="N45" s="36">
        <v>2</v>
      </c>
      <c r="O45" s="36">
        <f>62.8</f>
        <v>62.8</v>
      </c>
      <c r="P45" s="36">
        <v>42.8</v>
      </c>
      <c r="Q45" s="36">
        <v>15.7</v>
      </c>
      <c r="R45" s="40">
        <f>O45-SUM($Q$45:$Q$46)</f>
        <v>20</v>
      </c>
      <c r="S45" s="40">
        <f>R45/SUM($W$45:$W$46)</f>
        <v>10</v>
      </c>
      <c r="T45" s="36">
        <f>ROUNDUP(Q45+S45*W45,2)</f>
        <v>25.7</v>
      </c>
      <c r="U45" s="13" t="s">
        <v>128</v>
      </c>
      <c r="V45" s="36" t="s">
        <v>104</v>
      </c>
      <c r="W45" s="31">
        <v>1</v>
      </c>
      <c r="X45" s="7" t="s">
        <v>129</v>
      </c>
      <c r="Y45" s="15"/>
      <c r="Z45" s="42">
        <v>19.3</v>
      </c>
      <c r="AA45" s="42" t="s">
        <v>89</v>
      </c>
      <c r="AB45" s="42">
        <f t="shared" si="2"/>
        <v>1.4</v>
      </c>
      <c r="AC45" s="43">
        <f t="shared" si="3"/>
        <v>27.02</v>
      </c>
      <c r="AD45" s="38">
        <f t="shared" si="4"/>
        <v>694.41</v>
      </c>
      <c r="AE45" s="38">
        <f>ROUND(12174.84/O45*T45,2)</f>
        <v>4982.38</v>
      </c>
      <c r="AF45" s="38">
        <f t="shared" si="5"/>
        <v>4942519.22</v>
      </c>
      <c r="AG45" s="38">
        <f t="shared" si="6"/>
        <v>4937536.84</v>
      </c>
      <c r="AH45" s="38">
        <f t="shared" si="7"/>
        <v>4932554.46</v>
      </c>
      <c r="AI45" s="38">
        <f t="shared" si="8"/>
        <v>4927572.08</v>
      </c>
      <c r="AJ45" s="38">
        <f t="shared" si="9"/>
        <v>4922589.7</v>
      </c>
      <c r="AK45" s="38">
        <f t="shared" si="18"/>
        <v>4917607.32</v>
      </c>
      <c r="AL45" s="38">
        <f t="shared" si="18"/>
        <v>4912624.9400000004</v>
      </c>
      <c r="AM45" s="38">
        <f t="shared" si="18"/>
        <v>4907642.5600000005</v>
      </c>
      <c r="AN45" s="38">
        <f t="shared" si="18"/>
        <v>4902660.1800000006</v>
      </c>
      <c r="AO45" s="38">
        <f t="shared" si="18"/>
        <v>4897677.8000000007</v>
      </c>
      <c r="AP45" s="38">
        <f t="shared" si="18"/>
        <v>4892695.4200000009</v>
      </c>
      <c r="AQ45" s="38">
        <f t="shared" si="18"/>
        <v>4887713.040000001</v>
      </c>
      <c r="AR45" s="17">
        <f t="shared" si="18"/>
        <v>4882730.6600000011</v>
      </c>
      <c r="AS45" s="38">
        <f t="shared" si="16"/>
        <v>73689.37</v>
      </c>
      <c r="AT45" s="38">
        <f t="shared" si="11"/>
        <v>74383.78</v>
      </c>
      <c r="AU45" s="38">
        <f t="shared" si="12"/>
        <v>4982.38</v>
      </c>
      <c r="AV45" s="18">
        <f t="shared" si="19"/>
        <v>6198.65</v>
      </c>
      <c r="AW45" s="17">
        <f t="shared" si="14"/>
        <v>4982.38</v>
      </c>
      <c r="AX45" s="38"/>
      <c r="AY45" s="38"/>
      <c r="AZ45" s="44"/>
      <c r="BA45" s="45"/>
      <c r="BB45" s="45"/>
      <c r="BC45" s="45"/>
      <c r="BD45" s="45"/>
    </row>
    <row r="46" spans="1:56" s="69" customFormat="1" ht="36" x14ac:dyDescent="0.25">
      <c r="A46" s="36"/>
      <c r="B46" s="31">
        <v>70</v>
      </c>
      <c r="C46" s="31" t="s">
        <v>51</v>
      </c>
      <c r="D46" s="31" t="s">
        <v>117</v>
      </c>
      <c r="E46" s="31">
        <v>188</v>
      </c>
      <c r="F46" s="35">
        <v>7</v>
      </c>
      <c r="G46" s="31">
        <v>242</v>
      </c>
      <c r="H46" s="31" t="str">
        <f t="shared" si="0"/>
        <v>Жилой комплекс Сапа-2007, 188 7 - 242</v>
      </c>
      <c r="I46" s="36"/>
      <c r="J46" s="37"/>
      <c r="K46" s="37">
        <f>ROUND($J$45/O46*T46,2)</f>
        <v>7878510.5099999998</v>
      </c>
      <c r="L46" s="38"/>
      <c r="M46" s="38">
        <f>IF(V46="Да",ROUND($L$45/O46*T46,2),L46)</f>
        <v>7134920.7400000002</v>
      </c>
      <c r="N46" s="36">
        <v>2</v>
      </c>
      <c r="O46" s="36">
        <f>62.8</f>
        <v>62.8</v>
      </c>
      <c r="P46" s="36">
        <v>42.8</v>
      </c>
      <c r="Q46" s="36">
        <f>27.1</f>
        <v>27.1</v>
      </c>
      <c r="R46" s="40">
        <f>O46-SUM($Q$45:$Q$46)</f>
        <v>20</v>
      </c>
      <c r="S46" s="40">
        <f>R46/SUM($W$45:$W$46)</f>
        <v>10</v>
      </c>
      <c r="T46" s="36">
        <f>ROUNDDOWN(Q46+S46*W46,2)</f>
        <v>37.1</v>
      </c>
      <c r="U46" s="67" t="s">
        <v>130</v>
      </c>
      <c r="V46" s="36" t="s">
        <v>104</v>
      </c>
      <c r="W46" s="31">
        <v>1</v>
      </c>
      <c r="X46" s="31" t="s">
        <v>131</v>
      </c>
      <c r="Y46" s="42"/>
      <c r="Z46" s="42">
        <v>19.3</v>
      </c>
      <c r="AA46" s="42" t="s">
        <v>89</v>
      </c>
      <c r="AB46" s="42">
        <f t="shared" si="2"/>
        <v>1.4</v>
      </c>
      <c r="AC46" s="43">
        <f t="shared" si="3"/>
        <v>27.02</v>
      </c>
      <c r="AD46" s="38">
        <f t="shared" si="4"/>
        <v>1002.44</v>
      </c>
      <c r="AE46" s="38">
        <f>ROUND(12174.84/O46*T46,2)</f>
        <v>7192.46</v>
      </c>
      <c r="AF46" s="38">
        <f t="shared" si="5"/>
        <v>7134920.7400000002</v>
      </c>
      <c r="AG46" s="38">
        <f t="shared" si="6"/>
        <v>7127728.2800000003</v>
      </c>
      <c r="AH46" s="38">
        <f t="shared" si="7"/>
        <v>7120535.8200000003</v>
      </c>
      <c r="AI46" s="38">
        <f t="shared" si="8"/>
        <v>7113343.3600000003</v>
      </c>
      <c r="AJ46" s="38">
        <f t="shared" si="9"/>
        <v>7106150.9000000004</v>
      </c>
      <c r="AK46" s="38">
        <f t="shared" si="18"/>
        <v>7098958.4400000004</v>
      </c>
      <c r="AL46" s="38">
        <f t="shared" si="18"/>
        <v>7091765.9800000004</v>
      </c>
      <c r="AM46" s="38">
        <f t="shared" si="18"/>
        <v>7084573.5200000005</v>
      </c>
      <c r="AN46" s="38">
        <f t="shared" si="18"/>
        <v>7077381.0600000005</v>
      </c>
      <c r="AO46" s="38">
        <f t="shared" si="18"/>
        <v>7070188.6000000006</v>
      </c>
      <c r="AP46" s="38">
        <f t="shared" si="18"/>
        <v>7062996.1400000006</v>
      </c>
      <c r="AQ46" s="38">
        <f t="shared" si="18"/>
        <v>7055803.6800000006</v>
      </c>
      <c r="AR46" s="38">
        <f t="shared" si="18"/>
        <v>7048611.2200000007</v>
      </c>
      <c r="AS46" s="38">
        <f t="shared" si="16"/>
        <v>106376.49</v>
      </c>
      <c r="AT46" s="38">
        <f t="shared" si="11"/>
        <v>107378.93000000001</v>
      </c>
      <c r="AU46" s="38">
        <f t="shared" si="12"/>
        <v>7192.46</v>
      </c>
      <c r="AV46" s="68">
        <f t="shared" si="19"/>
        <v>8948.24</v>
      </c>
      <c r="AW46" s="38">
        <f t="shared" si="14"/>
        <v>7192.46</v>
      </c>
      <c r="AX46" s="38"/>
      <c r="AY46" s="38"/>
      <c r="AZ46" s="44"/>
      <c r="BA46" s="45"/>
      <c r="BB46" s="45"/>
      <c r="BC46" s="45"/>
      <c r="BD46" s="45"/>
    </row>
    <row r="47" spans="1:56" s="21" customFormat="1" ht="36" x14ac:dyDescent="0.25">
      <c r="A47" s="7"/>
      <c r="B47" s="7">
        <v>71</v>
      </c>
      <c r="C47" s="7" t="s">
        <v>51</v>
      </c>
      <c r="D47" s="7" t="s">
        <v>117</v>
      </c>
      <c r="E47" s="7">
        <v>188</v>
      </c>
      <c r="F47" s="34">
        <v>7</v>
      </c>
      <c r="G47" s="7">
        <v>246</v>
      </c>
      <c r="H47" s="9" t="str">
        <f t="shared" si="0"/>
        <v>Жилой комплекс Сапа-2007, 188 7 - 246</v>
      </c>
      <c r="I47" s="10">
        <v>1</v>
      </c>
      <c r="J47" s="11">
        <v>14100623</v>
      </c>
      <c r="K47" s="11"/>
      <c r="L47" s="12">
        <v>12924250.760000007</v>
      </c>
      <c r="M47" s="12">
        <v>12769777.64000001</v>
      </c>
      <c r="N47" s="10">
        <v>2</v>
      </c>
      <c r="O47" s="10">
        <v>66.400000000000006</v>
      </c>
      <c r="P47" s="10">
        <v>46.6</v>
      </c>
      <c r="Q47" s="10"/>
      <c r="R47" s="10"/>
      <c r="S47" s="10"/>
      <c r="T47" s="10"/>
      <c r="U47" s="13" t="s">
        <v>132</v>
      </c>
      <c r="V47" s="14" t="s">
        <v>56</v>
      </c>
      <c r="W47" s="7"/>
      <c r="X47" s="7"/>
      <c r="Y47" s="15"/>
      <c r="Z47" s="15">
        <v>19.3</v>
      </c>
      <c r="AA47" s="15" t="s">
        <v>89</v>
      </c>
      <c r="AB47" s="15">
        <f t="shared" si="2"/>
        <v>1.4</v>
      </c>
      <c r="AC47" s="16">
        <f t="shared" si="3"/>
        <v>27.02</v>
      </c>
      <c r="AD47" s="12">
        <f t="shared" si="4"/>
        <v>1794.13</v>
      </c>
      <c r="AE47" s="12">
        <v>12872.76</v>
      </c>
      <c r="AF47" s="12">
        <f t="shared" si="5"/>
        <v>12769777.64000001</v>
      </c>
      <c r="AG47" s="12">
        <f t="shared" si="6"/>
        <v>12756904.88000001</v>
      </c>
      <c r="AH47" s="12">
        <f t="shared" si="7"/>
        <v>12744032.12000001</v>
      </c>
      <c r="AI47" s="12">
        <f t="shared" si="8"/>
        <v>12731159.360000011</v>
      </c>
      <c r="AJ47" s="12">
        <f t="shared" si="9"/>
        <v>12718286.600000011</v>
      </c>
      <c r="AK47" s="12">
        <f t="shared" si="18"/>
        <v>12705413.840000011</v>
      </c>
      <c r="AL47" s="12">
        <f t="shared" si="18"/>
        <v>12692541.080000011</v>
      </c>
      <c r="AM47" s="12">
        <f t="shared" si="18"/>
        <v>12679668.320000011</v>
      </c>
      <c r="AN47" s="12">
        <f t="shared" si="18"/>
        <v>12666795.560000012</v>
      </c>
      <c r="AO47" s="12">
        <f t="shared" si="18"/>
        <v>12653922.800000012</v>
      </c>
      <c r="AP47" s="12">
        <f t="shared" si="18"/>
        <v>12641050.040000012</v>
      </c>
      <c r="AQ47" s="12">
        <f t="shared" si="18"/>
        <v>12628177.280000012</v>
      </c>
      <c r="AR47" s="17">
        <f t="shared" si="18"/>
        <v>12615304.520000013</v>
      </c>
      <c r="AS47" s="12">
        <f t="shared" si="16"/>
        <v>190388.12</v>
      </c>
      <c r="AT47" s="12">
        <f t="shared" si="11"/>
        <v>192182.25</v>
      </c>
      <c r="AU47" s="12">
        <f t="shared" si="12"/>
        <v>12872.76</v>
      </c>
      <c r="AV47" s="18">
        <f t="shared" si="19"/>
        <v>16015.19</v>
      </c>
      <c r="AW47" s="17">
        <f t="shared" si="14"/>
        <v>12872.76</v>
      </c>
      <c r="AX47" s="12"/>
      <c r="AY47" s="12"/>
      <c r="AZ47" s="19"/>
      <c r="BA47" s="20"/>
      <c r="BB47" s="20"/>
      <c r="BC47" s="20"/>
      <c r="BD47" s="20"/>
    </row>
    <row r="48" spans="1:56" s="21" customFormat="1" ht="36" x14ac:dyDescent="0.25">
      <c r="A48" s="9"/>
      <c r="B48" s="9">
        <v>72</v>
      </c>
      <c r="C48" s="9" t="s">
        <v>51</v>
      </c>
      <c r="D48" s="9" t="s">
        <v>117</v>
      </c>
      <c r="E48" s="9">
        <v>188</v>
      </c>
      <c r="F48" s="70">
        <v>7</v>
      </c>
      <c r="G48" s="9">
        <v>252</v>
      </c>
      <c r="H48" s="9" t="str">
        <f t="shared" si="0"/>
        <v>Жилой комплекс Сапа-2007, 188 7 - 252</v>
      </c>
      <c r="I48" s="24">
        <v>1</v>
      </c>
      <c r="J48" s="25">
        <f>14079387</f>
        <v>14079387</v>
      </c>
      <c r="K48" s="25"/>
      <c r="L48" s="17">
        <v>12750546.279999999</v>
      </c>
      <c r="M48" s="17">
        <f t="shared" ref="M48:M53" si="20">L48</f>
        <v>12750546.279999999</v>
      </c>
      <c r="N48" s="24">
        <v>2</v>
      </c>
      <c r="O48" s="24">
        <f>66.3</f>
        <v>66.3</v>
      </c>
      <c r="P48" s="24">
        <v>46.5</v>
      </c>
      <c r="Q48" s="71"/>
      <c r="R48" s="72"/>
      <c r="S48" s="72"/>
      <c r="T48" s="24"/>
      <c r="U48" s="13" t="s">
        <v>133</v>
      </c>
      <c r="V48" s="26" t="s">
        <v>56</v>
      </c>
      <c r="W48" s="9"/>
      <c r="X48" s="9"/>
      <c r="Y48" s="27"/>
      <c r="Z48" s="27">
        <v>19.3</v>
      </c>
      <c r="AA48" s="27" t="s">
        <v>89</v>
      </c>
      <c r="AB48" s="27">
        <f t="shared" si="2"/>
        <v>1.4</v>
      </c>
      <c r="AC48" s="28">
        <f t="shared" si="3"/>
        <v>27.02</v>
      </c>
      <c r="AD48" s="17">
        <f t="shared" si="4"/>
        <v>1791.43</v>
      </c>
      <c r="AE48" s="17">
        <v>12853.37</v>
      </c>
      <c r="AF48" s="17">
        <f t="shared" si="5"/>
        <v>12750546.279999999</v>
      </c>
      <c r="AG48" s="17">
        <f t="shared" si="6"/>
        <v>12737692.91</v>
      </c>
      <c r="AH48" s="17">
        <f t="shared" si="7"/>
        <v>12724839.540000001</v>
      </c>
      <c r="AI48" s="17">
        <f t="shared" si="8"/>
        <v>12711986.170000002</v>
      </c>
      <c r="AJ48" s="17">
        <f t="shared" si="9"/>
        <v>12699132.800000003</v>
      </c>
      <c r="AK48" s="17">
        <f t="shared" si="18"/>
        <v>12686279.430000003</v>
      </c>
      <c r="AL48" s="17">
        <f t="shared" si="18"/>
        <v>12673426.060000004</v>
      </c>
      <c r="AM48" s="17">
        <f t="shared" si="18"/>
        <v>12660572.690000005</v>
      </c>
      <c r="AN48" s="17">
        <f t="shared" si="18"/>
        <v>12647719.320000006</v>
      </c>
      <c r="AO48" s="17">
        <f t="shared" si="18"/>
        <v>12634865.950000007</v>
      </c>
      <c r="AP48" s="17">
        <f t="shared" si="18"/>
        <v>12622012.580000008</v>
      </c>
      <c r="AQ48" s="17">
        <f t="shared" si="18"/>
        <v>12609159.210000008</v>
      </c>
      <c r="AR48" s="17">
        <f t="shared" si="18"/>
        <v>12596305.840000009</v>
      </c>
      <c r="AS48" s="17">
        <f t="shared" si="16"/>
        <v>190101.39</v>
      </c>
      <c r="AT48" s="17">
        <f t="shared" si="11"/>
        <v>191892.82</v>
      </c>
      <c r="AU48" s="17">
        <f t="shared" si="12"/>
        <v>12853.37</v>
      </c>
      <c r="AV48" s="18">
        <f t="shared" si="19"/>
        <v>15991.07</v>
      </c>
      <c r="AW48" s="17">
        <f t="shared" si="14"/>
        <v>12853.37</v>
      </c>
      <c r="AX48" s="17"/>
      <c r="AY48" s="17"/>
      <c r="AZ48" s="29"/>
      <c r="BA48" s="30"/>
      <c r="BB48" s="30"/>
      <c r="BC48" s="30">
        <v>18</v>
      </c>
      <c r="BD48" s="30"/>
    </row>
    <row r="49" spans="1:56" s="21" customFormat="1" ht="36" x14ac:dyDescent="0.25">
      <c r="A49" s="7"/>
      <c r="B49" s="7">
        <v>74</v>
      </c>
      <c r="C49" s="7" t="s">
        <v>51</v>
      </c>
      <c r="D49" s="7" t="s">
        <v>117</v>
      </c>
      <c r="E49" s="7">
        <v>188</v>
      </c>
      <c r="F49" s="34">
        <v>7</v>
      </c>
      <c r="G49" s="7">
        <v>254</v>
      </c>
      <c r="H49" s="9" t="str">
        <f t="shared" si="0"/>
        <v>Жилой комплекс Сапа-2007, 188 7 - 254</v>
      </c>
      <c r="I49" s="10">
        <v>1</v>
      </c>
      <c r="J49" s="11">
        <v>13336131</v>
      </c>
      <c r="K49" s="11"/>
      <c r="L49" s="12">
        <v>12077439.960000006</v>
      </c>
      <c r="M49" s="12">
        <f t="shared" si="20"/>
        <v>12077439.960000006</v>
      </c>
      <c r="N49" s="10">
        <v>2</v>
      </c>
      <c r="O49" s="10">
        <v>62.8</v>
      </c>
      <c r="P49" s="10">
        <v>42.8</v>
      </c>
      <c r="Q49" s="10"/>
      <c r="R49" s="10"/>
      <c r="S49" s="10"/>
      <c r="T49" s="10"/>
      <c r="U49" s="13" t="s">
        <v>134</v>
      </c>
      <c r="V49" s="14" t="s">
        <v>56</v>
      </c>
      <c r="W49" s="7"/>
      <c r="X49" s="7"/>
      <c r="Y49" s="15"/>
      <c r="Z49" s="15">
        <v>19.3</v>
      </c>
      <c r="AA49" s="15" t="s">
        <v>89</v>
      </c>
      <c r="AB49" s="15">
        <f t="shared" si="2"/>
        <v>1.4</v>
      </c>
      <c r="AC49" s="16">
        <f t="shared" si="3"/>
        <v>27.02</v>
      </c>
      <c r="AD49" s="12">
        <f t="shared" si="4"/>
        <v>1696.86</v>
      </c>
      <c r="AE49" s="12">
        <v>12174.84</v>
      </c>
      <c r="AF49" s="12">
        <f t="shared" si="5"/>
        <v>12077439.960000006</v>
      </c>
      <c r="AG49" s="12">
        <f t="shared" si="6"/>
        <v>12065265.120000007</v>
      </c>
      <c r="AH49" s="12">
        <f t="shared" si="7"/>
        <v>12053090.280000007</v>
      </c>
      <c r="AI49" s="12">
        <f t="shared" si="8"/>
        <v>12040915.440000007</v>
      </c>
      <c r="AJ49" s="12">
        <f t="shared" si="9"/>
        <v>12028740.600000007</v>
      </c>
      <c r="AK49" s="12">
        <f t="shared" si="18"/>
        <v>12016565.760000007</v>
      </c>
      <c r="AL49" s="12">
        <f t="shared" si="18"/>
        <v>12004390.920000007</v>
      </c>
      <c r="AM49" s="12">
        <f t="shared" si="18"/>
        <v>11992216.080000008</v>
      </c>
      <c r="AN49" s="12">
        <f t="shared" si="18"/>
        <v>11980041.240000008</v>
      </c>
      <c r="AO49" s="12">
        <f t="shared" si="18"/>
        <v>11967866.400000008</v>
      </c>
      <c r="AP49" s="12">
        <f t="shared" si="18"/>
        <v>11955691.560000008</v>
      </c>
      <c r="AQ49" s="12">
        <f t="shared" si="18"/>
        <v>11943516.720000008</v>
      </c>
      <c r="AR49" s="17">
        <f t="shared" si="18"/>
        <v>11931341.880000008</v>
      </c>
      <c r="AS49" s="12">
        <f t="shared" si="16"/>
        <v>180065.86</v>
      </c>
      <c r="AT49" s="12">
        <f t="shared" si="11"/>
        <v>181762.71999999997</v>
      </c>
      <c r="AU49" s="12">
        <f t="shared" si="12"/>
        <v>12174.84</v>
      </c>
      <c r="AV49" s="18">
        <f t="shared" si="19"/>
        <v>15146.89</v>
      </c>
      <c r="AW49" s="17">
        <f t="shared" si="14"/>
        <v>12174.84</v>
      </c>
      <c r="AX49" s="12"/>
      <c r="AY49" s="12"/>
      <c r="AZ49" s="19"/>
      <c r="BA49" s="20"/>
      <c r="BB49" s="20"/>
      <c r="BC49" s="20"/>
      <c r="BD49" s="20"/>
    </row>
    <row r="50" spans="1:56" s="21" customFormat="1" ht="36" x14ac:dyDescent="0.25">
      <c r="A50" s="31"/>
      <c r="B50" s="31">
        <v>76</v>
      </c>
      <c r="C50" s="31" t="s">
        <v>51</v>
      </c>
      <c r="D50" s="31" t="s">
        <v>117</v>
      </c>
      <c r="E50" s="31">
        <v>188</v>
      </c>
      <c r="F50" s="35">
        <v>7</v>
      </c>
      <c r="G50" s="31">
        <v>260</v>
      </c>
      <c r="H50" s="31" t="str">
        <f t="shared" si="0"/>
        <v>Жилой комплекс Сапа-2007, 188 7 - 260</v>
      </c>
      <c r="I50" s="36">
        <v>1</v>
      </c>
      <c r="J50" s="37">
        <f>13336131</f>
        <v>13336131</v>
      </c>
      <c r="K50" s="37">
        <f>ROUND($J$50/O50*T50,2)</f>
        <v>7878510.5099999998</v>
      </c>
      <c r="L50" s="38">
        <v>12077439.960000001</v>
      </c>
      <c r="M50" s="38">
        <f>IF(V50="Да",ROUND($L$50/O50*T50,2),L50)</f>
        <v>7134920.7400000002</v>
      </c>
      <c r="N50" s="36">
        <v>2</v>
      </c>
      <c r="O50" s="36">
        <f>62.8</f>
        <v>62.8</v>
      </c>
      <c r="P50" s="36">
        <v>42.6</v>
      </c>
      <c r="Q50" s="36">
        <f>27</f>
        <v>27</v>
      </c>
      <c r="R50" s="40">
        <f>O50-SUM($Q$50:$Q$51)</f>
        <v>20.199999999999996</v>
      </c>
      <c r="S50" s="40">
        <f>R50/SUM($W$50:$W$51)</f>
        <v>10.099999999999998</v>
      </c>
      <c r="T50" s="41">
        <f>ROUND(Q50+S50*W50,2)</f>
        <v>37.1</v>
      </c>
      <c r="U50" s="13" t="s">
        <v>135</v>
      </c>
      <c r="V50" s="36" t="s">
        <v>104</v>
      </c>
      <c r="W50" s="31">
        <v>1</v>
      </c>
      <c r="X50" s="7" t="s">
        <v>136</v>
      </c>
      <c r="Y50" s="15"/>
      <c r="Z50" s="42">
        <v>19.3</v>
      </c>
      <c r="AA50" s="42" t="s">
        <v>89</v>
      </c>
      <c r="AB50" s="42">
        <f t="shared" si="2"/>
        <v>1.4</v>
      </c>
      <c r="AC50" s="43">
        <f t="shared" si="3"/>
        <v>27.02</v>
      </c>
      <c r="AD50" s="38">
        <f t="shared" si="4"/>
        <v>1002.44</v>
      </c>
      <c r="AE50" s="38">
        <f>ROUND(12174.84/O50*T50,2)</f>
        <v>7192.46</v>
      </c>
      <c r="AF50" s="38">
        <f t="shared" si="5"/>
        <v>7134920.7400000002</v>
      </c>
      <c r="AG50" s="38">
        <f t="shared" si="6"/>
        <v>7127728.2800000003</v>
      </c>
      <c r="AH50" s="38">
        <f t="shared" si="7"/>
        <v>7120535.8200000003</v>
      </c>
      <c r="AI50" s="38">
        <f t="shared" si="8"/>
        <v>7113343.3600000003</v>
      </c>
      <c r="AJ50" s="38">
        <f t="shared" si="9"/>
        <v>7106150.9000000004</v>
      </c>
      <c r="AK50" s="38">
        <f t="shared" si="18"/>
        <v>7098958.4400000004</v>
      </c>
      <c r="AL50" s="38">
        <f t="shared" si="18"/>
        <v>7091765.9800000004</v>
      </c>
      <c r="AM50" s="38">
        <f t="shared" si="18"/>
        <v>7084573.5200000005</v>
      </c>
      <c r="AN50" s="38">
        <f t="shared" si="18"/>
        <v>7077381.0600000005</v>
      </c>
      <c r="AO50" s="38">
        <f t="shared" si="18"/>
        <v>7070188.6000000006</v>
      </c>
      <c r="AP50" s="38">
        <f t="shared" si="18"/>
        <v>7062996.1400000006</v>
      </c>
      <c r="AQ50" s="38">
        <f t="shared" si="18"/>
        <v>7055803.6800000006</v>
      </c>
      <c r="AR50" s="17">
        <f t="shared" si="18"/>
        <v>7048611.2200000007</v>
      </c>
      <c r="AS50" s="38">
        <f t="shared" si="16"/>
        <v>106376.49</v>
      </c>
      <c r="AT50" s="38">
        <f t="shared" si="11"/>
        <v>107378.93000000001</v>
      </c>
      <c r="AU50" s="38">
        <f t="shared" si="12"/>
        <v>7192.46</v>
      </c>
      <c r="AV50" s="18">
        <f t="shared" si="19"/>
        <v>8948.24</v>
      </c>
      <c r="AW50" s="17">
        <f t="shared" si="14"/>
        <v>7192.46</v>
      </c>
      <c r="AX50" s="38"/>
      <c r="AY50" s="38"/>
      <c r="AZ50" s="44"/>
      <c r="BA50" s="45"/>
      <c r="BB50" s="45"/>
      <c r="BC50" s="45"/>
      <c r="BD50" s="45"/>
    </row>
    <row r="51" spans="1:56" s="21" customFormat="1" ht="36" x14ac:dyDescent="0.25">
      <c r="A51" s="36"/>
      <c r="B51" s="31">
        <v>77</v>
      </c>
      <c r="C51" s="31" t="s">
        <v>51</v>
      </c>
      <c r="D51" s="31" t="s">
        <v>117</v>
      </c>
      <c r="E51" s="31">
        <v>188</v>
      </c>
      <c r="F51" s="35">
        <v>7</v>
      </c>
      <c r="G51" s="31">
        <v>260</v>
      </c>
      <c r="H51" s="31" t="str">
        <f t="shared" si="0"/>
        <v>Жилой комплекс Сапа-2007, 188 7 - 260</v>
      </c>
      <c r="I51" s="36"/>
      <c r="J51" s="37"/>
      <c r="K51" s="37">
        <f>ROUND($J$50/O51*T51,2)</f>
        <v>5457620.4900000002</v>
      </c>
      <c r="L51" s="38"/>
      <c r="M51" s="38">
        <f>IF(V51="Да",ROUND($L$50/O51*T51,2),L51)</f>
        <v>4942519.22</v>
      </c>
      <c r="N51" s="36">
        <v>2</v>
      </c>
      <c r="O51" s="36">
        <f>62.8</f>
        <v>62.8</v>
      </c>
      <c r="P51" s="36">
        <v>42.6</v>
      </c>
      <c r="Q51" s="36">
        <f>15.6</f>
        <v>15.6</v>
      </c>
      <c r="R51" s="40">
        <f>O51-SUM($Q$50:$Q$51)</f>
        <v>20.199999999999996</v>
      </c>
      <c r="S51" s="40">
        <f>R51/SUM($W$50:$W$51)</f>
        <v>10.099999999999998</v>
      </c>
      <c r="T51" s="41">
        <f>ROUNDUP(Q51+S51*W51,2)</f>
        <v>25.7</v>
      </c>
      <c r="U51" s="13" t="s">
        <v>135</v>
      </c>
      <c r="V51" s="36" t="s">
        <v>104</v>
      </c>
      <c r="W51" s="31">
        <v>1</v>
      </c>
      <c r="X51" s="7" t="s">
        <v>137</v>
      </c>
      <c r="Y51" s="15"/>
      <c r="Z51" s="42">
        <v>19.3</v>
      </c>
      <c r="AA51" s="42" t="s">
        <v>89</v>
      </c>
      <c r="AB51" s="42">
        <f t="shared" si="2"/>
        <v>1.4</v>
      </c>
      <c r="AC51" s="43">
        <f t="shared" si="3"/>
        <v>27.02</v>
      </c>
      <c r="AD51" s="38">
        <f t="shared" si="4"/>
        <v>694.41</v>
      </c>
      <c r="AE51" s="38">
        <f>ROUND(12174.84/O51*T51,2)</f>
        <v>4982.38</v>
      </c>
      <c r="AF51" s="38">
        <f t="shared" si="5"/>
        <v>4942519.22</v>
      </c>
      <c r="AG51" s="38">
        <f t="shared" si="6"/>
        <v>4937536.84</v>
      </c>
      <c r="AH51" s="38">
        <f t="shared" si="7"/>
        <v>4932554.46</v>
      </c>
      <c r="AI51" s="38">
        <f t="shared" si="8"/>
        <v>4927572.08</v>
      </c>
      <c r="AJ51" s="38">
        <f t="shared" si="9"/>
        <v>4922589.7</v>
      </c>
      <c r="AK51" s="38">
        <f t="shared" ref="AK51:AR66" si="21">AJ51-$AE51</f>
        <v>4917607.32</v>
      </c>
      <c r="AL51" s="38">
        <f t="shared" si="21"/>
        <v>4912624.9400000004</v>
      </c>
      <c r="AM51" s="38">
        <f t="shared" si="21"/>
        <v>4907642.5600000005</v>
      </c>
      <c r="AN51" s="38">
        <f t="shared" si="21"/>
        <v>4902660.1800000006</v>
      </c>
      <c r="AO51" s="38">
        <f t="shared" si="21"/>
        <v>4897677.8000000007</v>
      </c>
      <c r="AP51" s="38">
        <f t="shared" si="21"/>
        <v>4892695.4200000009</v>
      </c>
      <c r="AQ51" s="38">
        <f t="shared" si="21"/>
        <v>4887713.040000001</v>
      </c>
      <c r="AR51" s="17">
        <f t="shared" si="21"/>
        <v>4882730.6600000011</v>
      </c>
      <c r="AS51" s="38">
        <f t="shared" si="16"/>
        <v>73689.37</v>
      </c>
      <c r="AT51" s="38">
        <f t="shared" si="11"/>
        <v>74383.78</v>
      </c>
      <c r="AU51" s="38">
        <f t="shared" si="12"/>
        <v>4982.38</v>
      </c>
      <c r="AV51" s="18">
        <f t="shared" si="19"/>
        <v>6198.65</v>
      </c>
      <c r="AW51" s="17">
        <f t="shared" si="14"/>
        <v>4982.38</v>
      </c>
      <c r="AX51" s="38"/>
      <c r="AY51" s="38"/>
      <c r="AZ51" s="44"/>
      <c r="BA51" s="45"/>
      <c r="BB51" s="45"/>
      <c r="BC51" s="45"/>
      <c r="BD51" s="45"/>
    </row>
    <row r="52" spans="1:56" s="69" customFormat="1" ht="36" x14ac:dyDescent="0.25">
      <c r="A52" s="31"/>
      <c r="B52" s="31">
        <v>78</v>
      </c>
      <c r="C52" s="31" t="s">
        <v>51</v>
      </c>
      <c r="D52" s="31" t="s">
        <v>117</v>
      </c>
      <c r="E52" s="31">
        <v>188</v>
      </c>
      <c r="F52" s="35">
        <v>7</v>
      </c>
      <c r="G52" s="31">
        <v>270</v>
      </c>
      <c r="H52" s="31" t="str">
        <f t="shared" si="0"/>
        <v>Жилой комплекс Сапа-2007, 188 7 - 270</v>
      </c>
      <c r="I52" s="36">
        <v>1</v>
      </c>
      <c r="J52" s="37">
        <f>14058151</f>
        <v>14058151</v>
      </c>
      <c r="K52" s="37"/>
      <c r="L52" s="38">
        <v>12731314.009999989</v>
      </c>
      <c r="M52" s="38">
        <f t="shared" si="20"/>
        <v>12731314.009999989</v>
      </c>
      <c r="N52" s="36">
        <v>2</v>
      </c>
      <c r="O52" s="36">
        <f>66.2</f>
        <v>66.2</v>
      </c>
      <c r="P52" s="36">
        <v>46.4</v>
      </c>
      <c r="Q52" s="36"/>
      <c r="R52" s="40"/>
      <c r="S52" s="40"/>
      <c r="T52" s="40"/>
      <c r="U52" s="67" t="s">
        <v>138</v>
      </c>
      <c r="V52" s="36" t="s">
        <v>56</v>
      </c>
      <c r="W52" s="31"/>
      <c r="X52" s="31"/>
      <c r="Y52" s="42"/>
      <c r="Z52" s="42">
        <v>19.3</v>
      </c>
      <c r="AA52" s="42" t="s">
        <v>89</v>
      </c>
      <c r="AB52" s="42">
        <f t="shared" si="2"/>
        <v>1.4</v>
      </c>
      <c r="AC52" s="43">
        <f t="shared" si="3"/>
        <v>27.02</v>
      </c>
      <c r="AD52" s="38">
        <f t="shared" si="4"/>
        <v>1788.72</v>
      </c>
      <c r="AE52" s="38">
        <v>12833.99</v>
      </c>
      <c r="AF52" s="38">
        <f t="shared" si="5"/>
        <v>12731314.009999989</v>
      </c>
      <c r="AG52" s="38">
        <f t="shared" si="6"/>
        <v>12718480.019999988</v>
      </c>
      <c r="AH52" s="38">
        <f t="shared" si="7"/>
        <v>12705646.029999988</v>
      </c>
      <c r="AI52" s="38">
        <f t="shared" si="8"/>
        <v>12692812.039999988</v>
      </c>
      <c r="AJ52" s="38">
        <f t="shared" si="9"/>
        <v>12679978.049999988</v>
      </c>
      <c r="AK52" s="38">
        <f t="shared" si="21"/>
        <v>12667144.059999987</v>
      </c>
      <c r="AL52" s="38">
        <f t="shared" si="21"/>
        <v>12654310.069999987</v>
      </c>
      <c r="AM52" s="38">
        <f t="shared" si="21"/>
        <v>12641476.079999987</v>
      </c>
      <c r="AN52" s="38">
        <f t="shared" si="21"/>
        <v>12628642.089999987</v>
      </c>
      <c r="AO52" s="38">
        <f t="shared" si="21"/>
        <v>12615808.099999987</v>
      </c>
      <c r="AP52" s="38">
        <f t="shared" si="21"/>
        <v>12602974.109999986</v>
      </c>
      <c r="AQ52" s="38">
        <f t="shared" si="21"/>
        <v>12590140.119999986</v>
      </c>
      <c r="AR52" s="38">
        <f t="shared" si="21"/>
        <v>12577306.129999986</v>
      </c>
      <c r="AS52" s="38">
        <f t="shared" si="16"/>
        <v>189814.65</v>
      </c>
      <c r="AT52" s="38">
        <f t="shared" si="11"/>
        <v>191603.37</v>
      </c>
      <c r="AU52" s="38">
        <f t="shared" si="12"/>
        <v>12833.99</v>
      </c>
      <c r="AV52" s="68">
        <f t="shared" si="19"/>
        <v>15966.95</v>
      </c>
      <c r="AW52" s="38">
        <f t="shared" si="14"/>
        <v>12833.99</v>
      </c>
      <c r="AX52" s="38"/>
      <c r="AY52" s="37"/>
      <c r="AZ52" s="44"/>
      <c r="BA52" s="45"/>
      <c r="BB52" s="45"/>
      <c r="BC52" s="45"/>
      <c r="BD52" s="45"/>
    </row>
    <row r="53" spans="1:56" s="21" customFormat="1" ht="36" x14ac:dyDescent="0.25">
      <c r="A53" s="31"/>
      <c r="B53" s="31">
        <v>79</v>
      </c>
      <c r="C53" s="31" t="s">
        <v>51</v>
      </c>
      <c r="D53" s="31" t="s">
        <v>117</v>
      </c>
      <c r="E53" s="31">
        <v>188</v>
      </c>
      <c r="F53" s="35">
        <v>7</v>
      </c>
      <c r="G53" s="31">
        <v>272</v>
      </c>
      <c r="H53" s="73" t="str">
        <f t="shared" si="0"/>
        <v>Жилой комплекс Сапа-2007, 188 7 - 272</v>
      </c>
      <c r="I53" s="74">
        <v>1</v>
      </c>
      <c r="J53" s="75">
        <f>13314895/62.7*O53</f>
        <v>13314895</v>
      </c>
      <c r="K53" s="75"/>
      <c r="L53" s="76">
        <v>12058208.450000037</v>
      </c>
      <c r="M53" s="76">
        <f t="shared" si="20"/>
        <v>12058208.450000037</v>
      </c>
      <c r="N53" s="74">
        <v>2</v>
      </c>
      <c r="O53" s="74">
        <f>62.7</f>
        <v>62.7</v>
      </c>
      <c r="P53" s="74">
        <v>42.4</v>
      </c>
      <c r="Q53" s="74"/>
      <c r="R53" s="74"/>
      <c r="S53" s="74"/>
      <c r="T53" s="74"/>
      <c r="U53" s="77" t="s">
        <v>139</v>
      </c>
      <c r="V53" s="48" t="s">
        <v>56</v>
      </c>
      <c r="W53" s="31"/>
      <c r="X53" s="7"/>
      <c r="Y53" s="15"/>
      <c r="Z53" s="42">
        <v>19.3</v>
      </c>
      <c r="AA53" s="42" t="s">
        <v>89</v>
      </c>
      <c r="AB53" s="42">
        <f t="shared" si="2"/>
        <v>1.4</v>
      </c>
      <c r="AC53" s="43">
        <f t="shared" si="3"/>
        <v>27.02</v>
      </c>
      <c r="AD53" s="38">
        <f t="shared" si="4"/>
        <v>1694.15</v>
      </c>
      <c r="AE53" s="38">
        <v>12155.45</v>
      </c>
      <c r="AF53" s="38">
        <f t="shared" si="5"/>
        <v>12058208.450000037</v>
      </c>
      <c r="AG53" s="38">
        <f t="shared" si="6"/>
        <v>12046053.000000037</v>
      </c>
      <c r="AH53" s="38">
        <f t="shared" si="7"/>
        <v>12033897.550000038</v>
      </c>
      <c r="AI53" s="38">
        <f t="shared" si="8"/>
        <v>12021742.100000039</v>
      </c>
      <c r="AJ53" s="38">
        <f t="shared" si="9"/>
        <v>12009586.650000039</v>
      </c>
      <c r="AK53" s="38">
        <f t="shared" si="21"/>
        <v>11997431.20000004</v>
      </c>
      <c r="AL53" s="38">
        <f t="shared" si="21"/>
        <v>11985275.750000041</v>
      </c>
      <c r="AM53" s="38">
        <f t="shared" si="21"/>
        <v>11973120.300000042</v>
      </c>
      <c r="AN53" s="38">
        <f t="shared" si="21"/>
        <v>11960964.850000042</v>
      </c>
      <c r="AO53" s="38">
        <f t="shared" si="21"/>
        <v>11948809.400000043</v>
      </c>
      <c r="AP53" s="38">
        <f t="shared" si="21"/>
        <v>11936653.950000044</v>
      </c>
      <c r="AQ53" s="38">
        <f t="shared" si="21"/>
        <v>11924498.500000045</v>
      </c>
      <c r="AR53" s="17">
        <f t="shared" si="21"/>
        <v>11912343.050000045</v>
      </c>
      <c r="AS53" s="38">
        <f t="shared" si="16"/>
        <v>179779.14</v>
      </c>
      <c r="AT53" s="38">
        <f t="shared" si="11"/>
        <v>181473.29</v>
      </c>
      <c r="AU53" s="38">
        <f t="shared" si="12"/>
        <v>12155.45</v>
      </c>
      <c r="AV53" s="18">
        <f t="shared" si="19"/>
        <v>15122.77</v>
      </c>
      <c r="AW53" s="17">
        <f t="shared" si="14"/>
        <v>12155.45</v>
      </c>
      <c r="AX53" s="38"/>
      <c r="AY53" s="38"/>
      <c r="AZ53" s="44"/>
      <c r="BA53" s="45"/>
      <c r="BB53" s="45"/>
      <c r="BC53" s="45"/>
      <c r="BD53" s="45"/>
    </row>
    <row r="54" spans="1:56" s="64" customFormat="1" ht="36" x14ac:dyDescent="0.25">
      <c r="A54" s="49"/>
      <c r="B54" s="49">
        <v>82</v>
      </c>
      <c r="C54" s="49" t="s">
        <v>58</v>
      </c>
      <c r="D54" s="49" t="s">
        <v>140</v>
      </c>
      <c r="E54" s="50" t="s">
        <v>141</v>
      </c>
      <c r="F54" s="50">
        <v>5</v>
      </c>
      <c r="G54" s="78">
        <v>116</v>
      </c>
      <c r="H54" s="49" t="s">
        <v>142</v>
      </c>
      <c r="I54" s="51">
        <v>1</v>
      </c>
      <c r="J54" s="52">
        <v>33248000</v>
      </c>
      <c r="K54" s="52">
        <f>ROUND($J$54/O54*T54,2)</f>
        <v>9280883.4399999995</v>
      </c>
      <c r="L54" s="53">
        <v>31751839.82</v>
      </c>
      <c r="M54" s="53">
        <f>IF(V54="Да",ROUND($L$54/O54*T54,2),L54)</f>
        <v>8863243.6300000008</v>
      </c>
      <c r="N54" s="51">
        <v>3</v>
      </c>
      <c r="O54" s="51">
        <v>97.8</v>
      </c>
      <c r="P54" s="51">
        <v>57.5</v>
      </c>
      <c r="Q54" s="51">
        <v>27.3</v>
      </c>
      <c r="R54" s="55">
        <f>O54-SUM($Q$54:$Q$56)</f>
        <v>40.299999999999997</v>
      </c>
      <c r="S54" s="55">
        <f>R54/SUM($W$54:$W$56)</f>
        <v>40.299999999999997</v>
      </c>
      <c r="T54" s="79">
        <f>ROUNDUP(Q54+S54*W54,2)</f>
        <v>27.3</v>
      </c>
      <c r="U54" s="80" t="s">
        <v>143</v>
      </c>
      <c r="V54" s="58" t="s">
        <v>104</v>
      </c>
      <c r="W54" s="49">
        <v>0</v>
      </c>
      <c r="X54" s="49" t="s">
        <v>144</v>
      </c>
      <c r="Y54" s="59"/>
      <c r="Z54" s="59">
        <v>19.3</v>
      </c>
      <c r="AA54" s="59" t="s">
        <v>145</v>
      </c>
      <c r="AB54" s="59">
        <f t="shared" si="2"/>
        <v>1.2</v>
      </c>
      <c r="AC54" s="60">
        <f t="shared" si="3"/>
        <v>23.16</v>
      </c>
      <c r="AD54" s="53">
        <f t="shared" si="4"/>
        <v>632.27</v>
      </c>
      <c r="AE54" s="53">
        <f>ROUND(27706.67/O54*T54,2)</f>
        <v>7734.07</v>
      </c>
      <c r="AF54" s="53">
        <f t="shared" si="5"/>
        <v>8863243.6300000008</v>
      </c>
      <c r="AG54" s="53">
        <f t="shared" si="6"/>
        <v>8855509.5600000005</v>
      </c>
      <c r="AH54" s="53">
        <f t="shared" si="7"/>
        <v>8847775.4900000002</v>
      </c>
      <c r="AI54" s="53">
        <f t="shared" si="8"/>
        <v>8840041.4199999999</v>
      </c>
      <c r="AJ54" s="53">
        <f t="shared" si="9"/>
        <v>8832307.3499999996</v>
      </c>
      <c r="AK54" s="53">
        <f t="shared" si="21"/>
        <v>8824573.2799999993</v>
      </c>
      <c r="AL54" s="53">
        <f t="shared" si="21"/>
        <v>8816839.209999999</v>
      </c>
      <c r="AM54" s="53">
        <f t="shared" si="21"/>
        <v>8809105.1399999987</v>
      </c>
      <c r="AN54" s="53">
        <f t="shared" si="21"/>
        <v>8801371.0699999984</v>
      </c>
      <c r="AO54" s="53">
        <f t="shared" si="21"/>
        <v>8793636.9999999981</v>
      </c>
      <c r="AP54" s="53">
        <f t="shared" si="21"/>
        <v>8785902.9299999978</v>
      </c>
      <c r="AQ54" s="53">
        <f t="shared" si="21"/>
        <v>8778168.8599999975</v>
      </c>
      <c r="AR54" s="53">
        <f t="shared" si="21"/>
        <v>8770434.7899999972</v>
      </c>
      <c r="AS54" s="53">
        <f t="shared" si="16"/>
        <v>132252.59</v>
      </c>
      <c r="AT54" s="53">
        <f t="shared" si="11"/>
        <v>132884.85999999999</v>
      </c>
      <c r="AU54" s="53">
        <f t="shared" si="12"/>
        <v>7734.07</v>
      </c>
      <c r="AV54" s="61">
        <f t="shared" si="19"/>
        <v>11073.74</v>
      </c>
      <c r="AW54" s="53">
        <f t="shared" si="14"/>
        <v>7734.07</v>
      </c>
      <c r="AX54" s="53"/>
      <c r="AY54" s="53"/>
      <c r="AZ54" s="62"/>
      <c r="BA54" s="81"/>
      <c r="BB54" s="63"/>
      <c r="BC54" s="63"/>
      <c r="BD54" s="63"/>
    </row>
    <row r="55" spans="1:56" s="69" customFormat="1" ht="36" x14ac:dyDescent="0.25">
      <c r="A55" s="36"/>
      <c r="B55" s="31">
        <v>83</v>
      </c>
      <c r="C55" s="31" t="s">
        <v>58</v>
      </c>
      <c r="D55" s="31" t="s">
        <v>140</v>
      </c>
      <c r="E55" s="35" t="s">
        <v>141</v>
      </c>
      <c r="F55" s="35">
        <v>5</v>
      </c>
      <c r="G55" s="82">
        <v>116</v>
      </c>
      <c r="H55" s="31" t="s">
        <v>142</v>
      </c>
      <c r="I55" s="36"/>
      <c r="J55" s="37"/>
      <c r="K55" s="37">
        <f>ROUND($J$54/O55*T55,2)</f>
        <v>19921603.27</v>
      </c>
      <c r="L55" s="38"/>
      <c r="M55" s="38">
        <f>IF(V55="Да",ROUND($L$54/O55*T55,2),L55)</f>
        <v>19025131.02</v>
      </c>
      <c r="N55" s="36">
        <v>3</v>
      </c>
      <c r="O55" s="36">
        <v>97.8</v>
      </c>
      <c r="P55" s="36">
        <v>57.5</v>
      </c>
      <c r="Q55" s="36">
        <v>18.3</v>
      </c>
      <c r="R55" s="40">
        <f>O55-SUM($Q$54:$Q$56)</f>
        <v>40.299999999999997</v>
      </c>
      <c r="S55" s="40">
        <f>R55/SUM($W$54:$W$56)</f>
        <v>40.299999999999997</v>
      </c>
      <c r="T55" s="41">
        <f>ROUND(Q55+S55*W55,2)</f>
        <v>58.6</v>
      </c>
      <c r="U55" s="83" t="s">
        <v>146</v>
      </c>
      <c r="V55" s="48" t="s">
        <v>104</v>
      </c>
      <c r="W55" s="31">
        <v>1</v>
      </c>
      <c r="X55" s="31" t="s">
        <v>147</v>
      </c>
      <c r="Y55" s="42"/>
      <c r="Z55" s="42">
        <v>19.3</v>
      </c>
      <c r="AA55" s="42" t="s">
        <v>145</v>
      </c>
      <c r="AB55" s="42">
        <f t="shared" si="2"/>
        <v>1.2</v>
      </c>
      <c r="AC55" s="43">
        <f t="shared" si="3"/>
        <v>23.16</v>
      </c>
      <c r="AD55" s="38">
        <f t="shared" si="4"/>
        <v>1357.18</v>
      </c>
      <c r="AE55" s="38">
        <f>ROUND(27706.67/O55*T55,2)</f>
        <v>16601.34</v>
      </c>
      <c r="AF55" s="38">
        <f t="shared" si="5"/>
        <v>19025131.02</v>
      </c>
      <c r="AG55" s="38">
        <f t="shared" si="6"/>
        <v>19008529.68</v>
      </c>
      <c r="AH55" s="38">
        <f t="shared" si="7"/>
        <v>18991928.34</v>
      </c>
      <c r="AI55" s="38">
        <f t="shared" si="8"/>
        <v>18975327</v>
      </c>
      <c r="AJ55" s="38">
        <f t="shared" si="9"/>
        <v>18958725.66</v>
      </c>
      <c r="AK55" s="38">
        <f t="shared" si="21"/>
        <v>18942124.32</v>
      </c>
      <c r="AL55" s="38">
        <f t="shared" si="21"/>
        <v>18925522.98</v>
      </c>
      <c r="AM55" s="38">
        <f t="shared" si="21"/>
        <v>18908921.640000001</v>
      </c>
      <c r="AN55" s="38">
        <f t="shared" si="21"/>
        <v>18892320.300000001</v>
      </c>
      <c r="AO55" s="38">
        <f t="shared" si="21"/>
        <v>18875718.960000001</v>
      </c>
      <c r="AP55" s="38">
        <f t="shared" si="21"/>
        <v>18859117.620000001</v>
      </c>
      <c r="AQ55" s="38">
        <f t="shared" si="21"/>
        <v>18842516.280000001</v>
      </c>
      <c r="AR55" s="38">
        <f t="shared" si="21"/>
        <v>18825914.940000001</v>
      </c>
      <c r="AS55" s="38">
        <f t="shared" si="16"/>
        <v>283882.84000000003</v>
      </c>
      <c r="AT55" s="38">
        <f t="shared" si="11"/>
        <v>285240.02</v>
      </c>
      <c r="AU55" s="38">
        <f t="shared" si="12"/>
        <v>16601.34</v>
      </c>
      <c r="AV55" s="68">
        <f t="shared" si="19"/>
        <v>23770</v>
      </c>
      <c r="AW55" s="38">
        <f t="shared" si="14"/>
        <v>16601.34</v>
      </c>
      <c r="AX55" s="38"/>
      <c r="AY55" s="38"/>
      <c r="AZ55" s="44"/>
      <c r="BA55" s="84"/>
      <c r="BB55" s="45"/>
      <c r="BC55" s="45"/>
      <c r="BD55" s="45"/>
    </row>
    <row r="56" spans="1:56" s="64" customFormat="1" ht="36" x14ac:dyDescent="0.25">
      <c r="A56" s="51"/>
      <c r="B56" s="49">
        <v>84</v>
      </c>
      <c r="C56" s="49" t="s">
        <v>58</v>
      </c>
      <c r="D56" s="49" t="s">
        <v>140</v>
      </c>
      <c r="E56" s="50" t="s">
        <v>141</v>
      </c>
      <c r="F56" s="50">
        <v>5</v>
      </c>
      <c r="G56" s="78">
        <v>116</v>
      </c>
      <c r="H56" s="49" t="s">
        <v>142</v>
      </c>
      <c r="I56" s="51"/>
      <c r="J56" s="52"/>
      <c r="K56" s="52">
        <f>ROUND($J$54/O56*T56,2)</f>
        <v>4045513.29</v>
      </c>
      <c r="L56" s="53"/>
      <c r="M56" s="53">
        <f>IF(V56="Да",ROUND($L$54/O56*T56,2),L56)</f>
        <v>3863465.17</v>
      </c>
      <c r="N56" s="51">
        <v>3</v>
      </c>
      <c r="O56" s="51">
        <v>97.8</v>
      </c>
      <c r="P56" s="51">
        <v>57.5</v>
      </c>
      <c r="Q56" s="51">
        <v>11.9</v>
      </c>
      <c r="R56" s="55">
        <f>O56-SUM($Q$54:$Q$56)</f>
        <v>40.299999999999997</v>
      </c>
      <c r="S56" s="55">
        <f>R56/SUM($W$54:$W$56)</f>
        <v>40.299999999999997</v>
      </c>
      <c r="T56" s="79">
        <f>ROUND(Q56+S56*W56,2)</f>
        <v>11.9</v>
      </c>
      <c r="U56" s="85" t="s">
        <v>148</v>
      </c>
      <c r="V56" s="58" t="s">
        <v>104</v>
      </c>
      <c r="W56" s="49">
        <v>0</v>
      </c>
      <c r="X56" s="49" t="s">
        <v>149</v>
      </c>
      <c r="Y56" s="59"/>
      <c r="Z56" s="59">
        <v>19.3</v>
      </c>
      <c r="AA56" s="59" t="s">
        <v>145</v>
      </c>
      <c r="AB56" s="59">
        <f t="shared" si="2"/>
        <v>1.2</v>
      </c>
      <c r="AC56" s="60">
        <f t="shared" si="3"/>
        <v>23.16</v>
      </c>
      <c r="AD56" s="53">
        <f t="shared" si="4"/>
        <v>275.60000000000002</v>
      </c>
      <c r="AE56" s="53">
        <f>ROUND(27706.67/O56*T56,2)</f>
        <v>3371.26</v>
      </c>
      <c r="AF56" s="53">
        <f t="shared" si="5"/>
        <v>3863465.17</v>
      </c>
      <c r="AG56" s="53">
        <f t="shared" si="6"/>
        <v>3860093.91</v>
      </c>
      <c r="AH56" s="53">
        <f t="shared" si="7"/>
        <v>3856722.6500000004</v>
      </c>
      <c r="AI56" s="53">
        <f t="shared" si="8"/>
        <v>3853351.3900000006</v>
      </c>
      <c r="AJ56" s="53">
        <f t="shared" si="9"/>
        <v>3849980.1300000008</v>
      </c>
      <c r="AK56" s="53">
        <f t="shared" si="21"/>
        <v>3846608.870000001</v>
      </c>
      <c r="AL56" s="53">
        <f t="shared" si="21"/>
        <v>3843237.6100000013</v>
      </c>
      <c r="AM56" s="53">
        <f t="shared" si="21"/>
        <v>3839866.3500000015</v>
      </c>
      <c r="AN56" s="53">
        <f t="shared" si="21"/>
        <v>3836495.0900000017</v>
      </c>
      <c r="AO56" s="53">
        <f t="shared" si="21"/>
        <v>3833123.8300000019</v>
      </c>
      <c r="AP56" s="53">
        <f t="shared" si="21"/>
        <v>3829752.5700000022</v>
      </c>
      <c r="AQ56" s="53">
        <f t="shared" si="21"/>
        <v>3826381.3100000024</v>
      </c>
      <c r="AR56" s="53">
        <f t="shared" si="21"/>
        <v>3823010.0500000026</v>
      </c>
      <c r="AS56" s="53">
        <f t="shared" si="16"/>
        <v>57648.56</v>
      </c>
      <c r="AT56" s="53">
        <f t="shared" si="11"/>
        <v>57924.159999999996</v>
      </c>
      <c r="AU56" s="53">
        <f t="shared" si="12"/>
        <v>3371.26</v>
      </c>
      <c r="AV56" s="61">
        <f t="shared" si="19"/>
        <v>4827.01</v>
      </c>
      <c r="AW56" s="53">
        <f t="shared" si="14"/>
        <v>3371.26</v>
      </c>
      <c r="AX56" s="53"/>
      <c r="AY56" s="53"/>
      <c r="AZ56" s="62"/>
      <c r="BA56" s="81"/>
      <c r="BB56" s="63"/>
      <c r="BC56" s="63"/>
      <c r="BD56" s="63"/>
    </row>
    <row r="57" spans="1:56" s="64" customFormat="1" ht="36" x14ac:dyDescent="0.25">
      <c r="A57" s="49"/>
      <c r="B57" s="49">
        <v>85</v>
      </c>
      <c r="C57" s="49" t="s">
        <v>58</v>
      </c>
      <c r="D57" s="49" t="s">
        <v>140</v>
      </c>
      <c r="E57" s="50" t="s">
        <v>141</v>
      </c>
      <c r="F57" s="50">
        <v>5</v>
      </c>
      <c r="G57" s="78">
        <v>128</v>
      </c>
      <c r="H57" s="49" t="s">
        <v>150</v>
      </c>
      <c r="I57" s="51">
        <v>1</v>
      </c>
      <c r="J57" s="52">
        <v>33316000</v>
      </c>
      <c r="K57" s="52">
        <f>ROUND($J$57/O57*T57,2)</f>
        <v>22947244.899999999</v>
      </c>
      <c r="L57" s="53">
        <v>31816780.170000002</v>
      </c>
      <c r="M57" s="53">
        <f>IF(V57="Да",ROUND($L$57/O57*T57,2),L57)</f>
        <v>21914618.989999998</v>
      </c>
      <c r="N57" s="51">
        <v>3</v>
      </c>
      <c r="O57" s="86">
        <v>98</v>
      </c>
      <c r="P57" s="51">
        <v>57.9</v>
      </c>
      <c r="Q57" s="51">
        <v>27.4</v>
      </c>
      <c r="R57" s="55">
        <f>O57-SUM($Q$57:$Q$59)</f>
        <v>40.1</v>
      </c>
      <c r="S57" s="55">
        <f>R57/SUM($W$57:$W$59)</f>
        <v>40.1</v>
      </c>
      <c r="T57" s="55">
        <f>ROUND(Q57+S57*W57,2)</f>
        <v>67.5</v>
      </c>
      <c r="U57" s="22" t="s">
        <v>114</v>
      </c>
      <c r="V57" s="58" t="s">
        <v>104</v>
      </c>
      <c r="W57" s="49">
        <v>1</v>
      </c>
      <c r="X57" s="49" t="s">
        <v>151</v>
      </c>
      <c r="Y57" s="59"/>
      <c r="Z57" s="59">
        <v>19.3</v>
      </c>
      <c r="AA57" s="59" t="s">
        <v>145</v>
      </c>
      <c r="AB57" s="59">
        <f t="shared" si="2"/>
        <v>1.2</v>
      </c>
      <c r="AC57" s="60">
        <f t="shared" si="3"/>
        <v>23.16</v>
      </c>
      <c r="AD57" s="53">
        <f t="shared" si="4"/>
        <v>1563.3</v>
      </c>
      <c r="AE57" s="53">
        <f>ROUND(27763.33/O57*T57,2)</f>
        <v>19122.7</v>
      </c>
      <c r="AF57" s="53">
        <f t="shared" si="5"/>
        <v>21914618.989999998</v>
      </c>
      <c r="AG57" s="53">
        <f t="shared" si="6"/>
        <v>21895496.289999999</v>
      </c>
      <c r="AH57" s="53">
        <f t="shared" si="7"/>
        <v>21876373.59</v>
      </c>
      <c r="AI57" s="53">
        <f t="shared" si="8"/>
        <v>21857250.890000001</v>
      </c>
      <c r="AJ57" s="53">
        <f t="shared" si="9"/>
        <v>21838128.190000001</v>
      </c>
      <c r="AK57" s="53">
        <f t="shared" si="21"/>
        <v>21819005.490000002</v>
      </c>
      <c r="AL57" s="53">
        <f t="shared" si="21"/>
        <v>21799882.790000003</v>
      </c>
      <c r="AM57" s="53">
        <f t="shared" si="21"/>
        <v>21780760.090000004</v>
      </c>
      <c r="AN57" s="53">
        <f t="shared" si="21"/>
        <v>21761637.390000004</v>
      </c>
      <c r="AO57" s="53">
        <f t="shared" si="21"/>
        <v>21742514.690000005</v>
      </c>
      <c r="AP57" s="53">
        <f t="shared" si="21"/>
        <v>21723391.990000006</v>
      </c>
      <c r="AQ57" s="53">
        <f t="shared" si="21"/>
        <v>21704269.290000007</v>
      </c>
      <c r="AR57" s="53">
        <f t="shared" si="21"/>
        <v>21685146.590000007</v>
      </c>
      <c r="AS57" s="53">
        <f t="shared" si="16"/>
        <v>326998.24</v>
      </c>
      <c r="AT57" s="53">
        <f t="shared" si="11"/>
        <v>328561.53999999998</v>
      </c>
      <c r="AU57" s="53">
        <f t="shared" si="12"/>
        <v>19122.7</v>
      </c>
      <c r="AV57" s="61">
        <f t="shared" si="19"/>
        <v>27380.13</v>
      </c>
      <c r="AW57" s="53">
        <f t="shared" si="14"/>
        <v>19122.7</v>
      </c>
      <c r="AX57" s="53"/>
      <c r="AY57" s="53"/>
      <c r="AZ57" s="62"/>
      <c r="BA57" s="63"/>
      <c r="BB57" s="63"/>
      <c r="BC57" s="63"/>
      <c r="BD57" s="63"/>
    </row>
    <row r="58" spans="1:56" s="21" customFormat="1" ht="36" x14ac:dyDescent="0.25">
      <c r="A58" s="51"/>
      <c r="B58" s="49">
        <v>86</v>
      </c>
      <c r="C58" s="49" t="s">
        <v>58</v>
      </c>
      <c r="D58" s="49" t="s">
        <v>140</v>
      </c>
      <c r="E58" s="50" t="s">
        <v>141</v>
      </c>
      <c r="F58" s="50">
        <v>5</v>
      </c>
      <c r="G58" s="78">
        <v>128</v>
      </c>
      <c r="H58" s="49" t="s">
        <v>150</v>
      </c>
      <c r="I58" s="51"/>
      <c r="J58" s="52"/>
      <c r="K58" s="52">
        <f>ROUND($J$57/O58*T58,2)</f>
        <v>6255248.9800000004</v>
      </c>
      <c r="L58" s="53"/>
      <c r="M58" s="53">
        <f>IF(V58="Да",ROUND($L$57/O58*T58,2),L58)</f>
        <v>5973762.8099999996</v>
      </c>
      <c r="N58" s="51">
        <v>3</v>
      </c>
      <c r="O58" s="86">
        <v>98</v>
      </c>
      <c r="P58" s="51">
        <v>57.9</v>
      </c>
      <c r="Q58" s="51">
        <v>18.399999999999999</v>
      </c>
      <c r="R58" s="55">
        <f>O58-SUM($Q$57:$Q$59)</f>
        <v>40.1</v>
      </c>
      <c r="S58" s="55">
        <f>R58/SUM($W$57:$W$59)</f>
        <v>40.1</v>
      </c>
      <c r="T58" s="55">
        <f>ROUND(Q58+S58*W58,2)</f>
        <v>18.399999999999999</v>
      </c>
      <c r="U58" s="22" t="s">
        <v>152</v>
      </c>
      <c r="V58" s="58" t="s">
        <v>104</v>
      </c>
      <c r="W58" s="49"/>
      <c r="X58" s="49" t="s">
        <v>153</v>
      </c>
      <c r="Y58" s="27"/>
      <c r="Z58" s="27">
        <v>19.3</v>
      </c>
      <c r="AA58" s="27" t="s">
        <v>145</v>
      </c>
      <c r="AB58" s="27">
        <f t="shared" si="2"/>
        <v>1.2</v>
      </c>
      <c r="AC58" s="28">
        <f t="shared" si="3"/>
        <v>23.16</v>
      </c>
      <c r="AD58" s="17">
        <f t="shared" si="4"/>
        <v>426.14</v>
      </c>
      <c r="AE58" s="17">
        <f>ROUND(27763.33/O58*T58,2)</f>
        <v>5212.71</v>
      </c>
      <c r="AF58" s="17">
        <f t="shared" si="5"/>
        <v>5973762.8099999996</v>
      </c>
      <c r="AG58" s="17">
        <f t="shared" si="6"/>
        <v>5968550.0999999996</v>
      </c>
      <c r="AH58" s="17">
        <f t="shared" si="7"/>
        <v>5963337.3899999997</v>
      </c>
      <c r="AI58" s="17">
        <f t="shared" si="8"/>
        <v>5958124.6799999997</v>
      </c>
      <c r="AJ58" s="17">
        <f t="shared" si="9"/>
        <v>5952911.9699999997</v>
      </c>
      <c r="AK58" s="17">
        <f t="shared" si="21"/>
        <v>5947699.2599999998</v>
      </c>
      <c r="AL58" s="17">
        <f t="shared" si="21"/>
        <v>5942486.5499999998</v>
      </c>
      <c r="AM58" s="17">
        <f t="shared" si="21"/>
        <v>5937273.8399999999</v>
      </c>
      <c r="AN58" s="17">
        <f t="shared" si="21"/>
        <v>5932061.1299999999</v>
      </c>
      <c r="AO58" s="17">
        <f t="shared" si="21"/>
        <v>5926848.4199999999</v>
      </c>
      <c r="AP58" s="17">
        <f t="shared" si="21"/>
        <v>5921635.71</v>
      </c>
      <c r="AQ58" s="17">
        <f t="shared" si="21"/>
        <v>5916423</v>
      </c>
      <c r="AR58" s="17">
        <f t="shared" si="21"/>
        <v>5911210.29</v>
      </c>
      <c r="AS58" s="17">
        <f t="shared" si="16"/>
        <v>89137.3</v>
      </c>
      <c r="AT58" s="17">
        <f t="shared" si="11"/>
        <v>89563.44</v>
      </c>
      <c r="AU58" s="17">
        <f t="shared" si="12"/>
        <v>5212.71</v>
      </c>
      <c r="AV58" s="61">
        <f t="shared" si="19"/>
        <v>7463.62</v>
      </c>
      <c r="AW58" s="53">
        <f t="shared" si="14"/>
        <v>5212.71</v>
      </c>
      <c r="AX58" s="53"/>
      <c r="AY58" s="53"/>
      <c r="AZ58" s="62"/>
      <c r="BA58" s="63"/>
      <c r="BB58" s="63"/>
      <c r="BC58" s="63"/>
      <c r="BD58" s="63"/>
    </row>
    <row r="59" spans="1:56" s="21" customFormat="1" ht="36" x14ac:dyDescent="0.25">
      <c r="A59" s="51"/>
      <c r="B59" s="49">
        <v>87</v>
      </c>
      <c r="C59" s="49" t="s">
        <v>58</v>
      </c>
      <c r="D59" s="49" t="s">
        <v>140</v>
      </c>
      <c r="E59" s="50" t="s">
        <v>141</v>
      </c>
      <c r="F59" s="50">
        <v>5</v>
      </c>
      <c r="G59" s="78">
        <v>128</v>
      </c>
      <c r="H59" s="49" t="s">
        <v>150</v>
      </c>
      <c r="I59" s="51"/>
      <c r="J59" s="52"/>
      <c r="K59" s="52">
        <f>ROUNDDOWN($J$57/O59*T59,2)</f>
        <v>4113506.12</v>
      </c>
      <c r="L59" s="53"/>
      <c r="M59" s="53">
        <f>IF(V59="Да",ROUND($L$57/O59*T59,2),L59)</f>
        <v>3928398.37</v>
      </c>
      <c r="N59" s="51">
        <v>3</v>
      </c>
      <c r="O59" s="86">
        <v>98</v>
      </c>
      <c r="P59" s="51">
        <v>57.9</v>
      </c>
      <c r="Q59" s="51">
        <v>12.1</v>
      </c>
      <c r="R59" s="55">
        <f>O59-SUM($Q$57:$Q$59)</f>
        <v>40.1</v>
      </c>
      <c r="S59" s="55">
        <f>R59/SUM($W$57:$W$59)</f>
        <v>40.1</v>
      </c>
      <c r="T59" s="55">
        <f>ROUNDDOWN(Q59+S59*W59,2)</f>
        <v>12.1</v>
      </c>
      <c r="U59" s="87" t="s">
        <v>154</v>
      </c>
      <c r="V59" s="58" t="s">
        <v>104</v>
      </c>
      <c r="W59" s="49"/>
      <c r="X59" s="49" t="s">
        <v>155</v>
      </c>
      <c r="Y59" s="15"/>
      <c r="Z59" s="42">
        <v>19.3</v>
      </c>
      <c r="AA59" s="42" t="s">
        <v>145</v>
      </c>
      <c r="AB59" s="42">
        <f t="shared" si="2"/>
        <v>1.2</v>
      </c>
      <c r="AC59" s="43">
        <f t="shared" si="3"/>
        <v>23.16</v>
      </c>
      <c r="AD59" s="38">
        <f t="shared" si="4"/>
        <v>280.24</v>
      </c>
      <c r="AE59" s="38">
        <f>ROUND(27763.33/O59*T59,2)</f>
        <v>3427.92</v>
      </c>
      <c r="AF59" s="38">
        <f t="shared" si="5"/>
        <v>3928398.37</v>
      </c>
      <c r="AG59" s="38">
        <f t="shared" si="6"/>
        <v>3924970.45</v>
      </c>
      <c r="AH59" s="38">
        <f t="shared" si="7"/>
        <v>3921542.5300000003</v>
      </c>
      <c r="AI59" s="38">
        <f t="shared" si="8"/>
        <v>3918114.6100000003</v>
      </c>
      <c r="AJ59" s="38">
        <f t="shared" si="9"/>
        <v>3914686.6900000004</v>
      </c>
      <c r="AK59" s="38">
        <f t="shared" si="21"/>
        <v>3911258.7700000005</v>
      </c>
      <c r="AL59" s="38">
        <f t="shared" si="21"/>
        <v>3907830.8500000006</v>
      </c>
      <c r="AM59" s="38">
        <f t="shared" si="21"/>
        <v>3904402.9300000006</v>
      </c>
      <c r="AN59" s="38">
        <f t="shared" si="21"/>
        <v>3900975.0100000007</v>
      </c>
      <c r="AO59" s="38">
        <f t="shared" si="21"/>
        <v>3897547.0900000008</v>
      </c>
      <c r="AP59" s="38">
        <f t="shared" si="21"/>
        <v>3894119.1700000009</v>
      </c>
      <c r="AQ59" s="38">
        <f t="shared" si="21"/>
        <v>3890691.2500000009</v>
      </c>
      <c r="AR59" s="17">
        <f t="shared" si="21"/>
        <v>3887263.330000001</v>
      </c>
      <c r="AS59" s="38">
        <f t="shared" si="16"/>
        <v>58617.46</v>
      </c>
      <c r="AT59" s="38">
        <f t="shared" si="11"/>
        <v>58897.7</v>
      </c>
      <c r="AU59" s="38">
        <f t="shared" si="12"/>
        <v>3427.92</v>
      </c>
      <c r="AV59" s="61">
        <f t="shared" si="19"/>
        <v>4908.1400000000003</v>
      </c>
      <c r="AW59" s="53">
        <f t="shared" si="14"/>
        <v>3427.92</v>
      </c>
      <c r="AX59" s="53"/>
      <c r="AY59" s="53"/>
      <c r="AZ59" s="62"/>
      <c r="BA59" s="63"/>
      <c r="BB59" s="63"/>
      <c r="BC59" s="63"/>
      <c r="BD59" s="63"/>
    </row>
    <row r="60" spans="1:56" s="69" customFormat="1" ht="36" x14ac:dyDescent="0.25">
      <c r="A60" s="31"/>
      <c r="B60" s="31">
        <v>88</v>
      </c>
      <c r="C60" s="31" t="s">
        <v>58</v>
      </c>
      <c r="D60" s="31" t="s">
        <v>140</v>
      </c>
      <c r="E60" s="35" t="s">
        <v>141</v>
      </c>
      <c r="F60" s="35">
        <v>5</v>
      </c>
      <c r="G60" s="82">
        <v>130</v>
      </c>
      <c r="H60" s="31" t="s">
        <v>156</v>
      </c>
      <c r="I60" s="36">
        <v>1</v>
      </c>
      <c r="J60" s="37">
        <v>27400000</v>
      </c>
      <c r="K60" s="37">
        <f>ROUND($J$60/O60*T60,2)</f>
        <v>8294789.0800000001</v>
      </c>
      <c r="L60" s="38">
        <v>26167000.309999999</v>
      </c>
      <c r="M60" s="38">
        <f>IF(V60="Да",ROUND($L$60/O60*T60,2),L60)</f>
        <v>7921523.6699999999</v>
      </c>
      <c r="N60" s="36">
        <v>3</v>
      </c>
      <c r="O60" s="36">
        <v>80.599999999999994</v>
      </c>
      <c r="P60" s="36">
        <v>45.2</v>
      </c>
      <c r="Q60" s="36">
        <v>12.6</v>
      </c>
      <c r="R60" s="40">
        <f>O60-SUM($Q$60:$Q$62)</f>
        <v>35.4</v>
      </c>
      <c r="S60" s="40">
        <f>R60/SUM($W$60:$W$62)</f>
        <v>11.799999999999999</v>
      </c>
      <c r="T60" s="36">
        <f>ROUND(Q60+S60*W60,2)</f>
        <v>24.4</v>
      </c>
      <c r="U60" s="67" t="s">
        <v>157</v>
      </c>
      <c r="V60" s="48" t="s">
        <v>104</v>
      </c>
      <c r="W60" s="31">
        <v>1</v>
      </c>
      <c r="X60" s="31" t="s">
        <v>158</v>
      </c>
      <c r="Y60" s="42"/>
      <c r="Z60" s="42">
        <v>19.3</v>
      </c>
      <c r="AA60" s="42" t="s">
        <v>145</v>
      </c>
      <c r="AB60" s="42">
        <f t="shared" si="2"/>
        <v>1.2</v>
      </c>
      <c r="AC60" s="43">
        <f t="shared" si="3"/>
        <v>23.16</v>
      </c>
      <c r="AD60" s="38">
        <f t="shared" si="4"/>
        <v>565.1</v>
      </c>
      <c r="AE60" s="38">
        <f>ROUND(22833.33/O60*T60,2)</f>
        <v>6912.32</v>
      </c>
      <c r="AF60" s="38">
        <f t="shared" si="5"/>
        <v>7921523.6699999999</v>
      </c>
      <c r="AG60" s="38">
        <f t="shared" si="6"/>
        <v>7914611.3499999996</v>
      </c>
      <c r="AH60" s="38">
        <f t="shared" si="7"/>
        <v>7907699.0299999993</v>
      </c>
      <c r="AI60" s="38">
        <f t="shared" si="8"/>
        <v>7900786.709999999</v>
      </c>
      <c r="AJ60" s="38">
        <f t="shared" si="9"/>
        <v>7893874.3899999987</v>
      </c>
      <c r="AK60" s="38">
        <f t="shared" si="21"/>
        <v>7886962.0699999984</v>
      </c>
      <c r="AL60" s="38">
        <f t="shared" si="21"/>
        <v>7880049.7499999981</v>
      </c>
      <c r="AM60" s="38">
        <f t="shared" si="21"/>
        <v>7873137.4299999978</v>
      </c>
      <c r="AN60" s="38">
        <f t="shared" si="21"/>
        <v>7866225.1099999975</v>
      </c>
      <c r="AO60" s="38">
        <f t="shared" si="21"/>
        <v>7859312.7899999972</v>
      </c>
      <c r="AP60" s="38">
        <f t="shared" si="21"/>
        <v>7852400.4699999969</v>
      </c>
      <c r="AQ60" s="38">
        <f t="shared" si="21"/>
        <v>7845488.1499999966</v>
      </c>
      <c r="AR60" s="38">
        <f t="shared" si="21"/>
        <v>7838575.8299999963</v>
      </c>
      <c r="AS60" s="38">
        <f t="shared" si="16"/>
        <v>118200.75</v>
      </c>
      <c r="AT60" s="38">
        <f t="shared" si="11"/>
        <v>118765.85</v>
      </c>
      <c r="AU60" s="38">
        <f t="shared" si="12"/>
        <v>6912.32</v>
      </c>
      <c r="AV60" s="68">
        <f t="shared" si="19"/>
        <v>9897.15</v>
      </c>
      <c r="AW60" s="38">
        <f t="shared" si="14"/>
        <v>6912.32</v>
      </c>
      <c r="AX60" s="38"/>
      <c r="AY60" s="38"/>
      <c r="AZ60" s="44"/>
      <c r="BA60" s="45"/>
      <c r="BB60" s="45"/>
      <c r="BC60" s="45"/>
      <c r="BD60" s="45"/>
    </row>
    <row r="61" spans="1:56" s="69" customFormat="1" ht="36" x14ac:dyDescent="0.25">
      <c r="A61" s="36"/>
      <c r="B61" s="31">
        <v>89</v>
      </c>
      <c r="C61" s="31" t="s">
        <v>58</v>
      </c>
      <c r="D61" s="31" t="s">
        <v>140</v>
      </c>
      <c r="E61" s="35" t="s">
        <v>141</v>
      </c>
      <c r="F61" s="35">
        <v>5</v>
      </c>
      <c r="G61" s="82">
        <v>130</v>
      </c>
      <c r="H61" s="31" t="s">
        <v>156</v>
      </c>
      <c r="I61" s="36"/>
      <c r="J61" s="37"/>
      <c r="K61" s="37">
        <f>ROUND($J$60/O61*T61,2)</f>
        <v>9518610.4199999999</v>
      </c>
      <c r="L61" s="38"/>
      <c r="M61" s="38">
        <f>IF(V61="Да",ROUND($L$60/O61*T61,2),L61)</f>
        <v>9090273.0600000005</v>
      </c>
      <c r="N61" s="36">
        <v>3</v>
      </c>
      <c r="O61" s="36">
        <v>80.599999999999994</v>
      </c>
      <c r="P61" s="36">
        <v>45.2</v>
      </c>
      <c r="Q61" s="36">
        <v>16.2</v>
      </c>
      <c r="R61" s="40">
        <f>O61-SUM($Q$60:$Q$62)</f>
        <v>35.4</v>
      </c>
      <c r="S61" s="40">
        <f>R61/SUM($W$60:$W$62)</f>
        <v>11.799999999999999</v>
      </c>
      <c r="T61" s="36">
        <f>ROUND(Q61+S61*W61,2)</f>
        <v>28</v>
      </c>
      <c r="U61" s="67" t="s">
        <v>159</v>
      </c>
      <c r="V61" s="48" t="s">
        <v>104</v>
      </c>
      <c r="W61" s="31">
        <v>1</v>
      </c>
      <c r="X61" s="31" t="s">
        <v>160</v>
      </c>
      <c r="Y61" s="42"/>
      <c r="Z61" s="42">
        <v>19.3</v>
      </c>
      <c r="AA61" s="42" t="s">
        <v>145</v>
      </c>
      <c r="AB61" s="42">
        <f t="shared" si="2"/>
        <v>1.2</v>
      </c>
      <c r="AC61" s="43">
        <f t="shared" si="3"/>
        <v>23.16</v>
      </c>
      <c r="AD61" s="38">
        <f t="shared" si="4"/>
        <v>648.48</v>
      </c>
      <c r="AE61" s="38">
        <f>ROUNDDOWN(22833.33/O61*T61,2)</f>
        <v>7932.17</v>
      </c>
      <c r="AF61" s="38">
        <f t="shared" si="5"/>
        <v>9090273.0600000005</v>
      </c>
      <c r="AG61" s="38">
        <f t="shared" si="6"/>
        <v>9082340.8900000006</v>
      </c>
      <c r="AH61" s="38">
        <f t="shared" si="7"/>
        <v>9074408.7200000007</v>
      </c>
      <c r="AI61" s="38">
        <f t="shared" si="8"/>
        <v>9066476.5500000007</v>
      </c>
      <c r="AJ61" s="38">
        <f t="shared" si="9"/>
        <v>9058544.3800000008</v>
      </c>
      <c r="AK61" s="38">
        <f t="shared" si="21"/>
        <v>9050612.2100000009</v>
      </c>
      <c r="AL61" s="38">
        <f t="shared" si="21"/>
        <v>9042680.040000001</v>
      </c>
      <c r="AM61" s="38">
        <f t="shared" si="21"/>
        <v>9034747.870000001</v>
      </c>
      <c r="AN61" s="38">
        <f t="shared" si="21"/>
        <v>9026815.7000000011</v>
      </c>
      <c r="AO61" s="38">
        <f t="shared" si="21"/>
        <v>9018883.5300000012</v>
      </c>
      <c r="AP61" s="38">
        <f t="shared" si="21"/>
        <v>9010951.3600000013</v>
      </c>
      <c r="AQ61" s="38">
        <f t="shared" si="21"/>
        <v>9003019.1900000013</v>
      </c>
      <c r="AR61" s="38">
        <f t="shared" si="21"/>
        <v>8995087.0200000014</v>
      </c>
      <c r="AS61" s="38">
        <f t="shared" si="16"/>
        <v>135640.20000000001</v>
      </c>
      <c r="AT61" s="38">
        <f t="shared" si="11"/>
        <v>136288.68000000002</v>
      </c>
      <c r="AU61" s="38">
        <f t="shared" si="12"/>
        <v>7932.17</v>
      </c>
      <c r="AV61" s="68">
        <f t="shared" si="19"/>
        <v>11357.39</v>
      </c>
      <c r="AW61" s="38">
        <f t="shared" si="14"/>
        <v>7932.17</v>
      </c>
      <c r="AX61" s="38"/>
      <c r="AY61" s="38"/>
      <c r="AZ61" s="44"/>
      <c r="BA61" s="45"/>
      <c r="BB61" s="45"/>
      <c r="BC61" s="45"/>
      <c r="BD61" s="45"/>
    </row>
    <row r="62" spans="1:56" s="69" customFormat="1" ht="36" x14ac:dyDescent="0.25">
      <c r="A62" s="36"/>
      <c r="B62" s="31">
        <v>90</v>
      </c>
      <c r="C62" s="31" t="s">
        <v>58</v>
      </c>
      <c r="D62" s="31" t="s">
        <v>140</v>
      </c>
      <c r="E62" s="35" t="s">
        <v>141</v>
      </c>
      <c r="F62" s="35">
        <v>5</v>
      </c>
      <c r="G62" s="82">
        <v>130</v>
      </c>
      <c r="H62" s="31" t="s">
        <v>156</v>
      </c>
      <c r="I62" s="36"/>
      <c r="J62" s="37"/>
      <c r="K62" s="37">
        <f>ROUND($J$60/O62*T62,2)</f>
        <v>9586600.5</v>
      </c>
      <c r="L62" s="38"/>
      <c r="M62" s="38">
        <f>IF(V62="Да",ROUND($L$60/O62*T62,2),L62)</f>
        <v>9155203.5800000001</v>
      </c>
      <c r="N62" s="36">
        <v>3</v>
      </c>
      <c r="O62" s="36">
        <v>80.599999999999994</v>
      </c>
      <c r="P62" s="36">
        <v>45.2</v>
      </c>
      <c r="Q62" s="36">
        <v>16.399999999999999</v>
      </c>
      <c r="R62" s="40">
        <f>O62-SUM($Q$60:$Q$62)</f>
        <v>35.4</v>
      </c>
      <c r="S62" s="40">
        <f>R62/SUM($W$60:$W$62)</f>
        <v>11.799999999999999</v>
      </c>
      <c r="T62" s="36">
        <f>ROUND(Q62+S62*W62,2)</f>
        <v>28.2</v>
      </c>
      <c r="U62" s="67" t="s">
        <v>161</v>
      </c>
      <c r="V62" s="48" t="s">
        <v>104</v>
      </c>
      <c r="W62" s="31">
        <v>1</v>
      </c>
      <c r="X62" s="31" t="s">
        <v>162</v>
      </c>
      <c r="Y62" s="42"/>
      <c r="Z62" s="42">
        <v>19.3</v>
      </c>
      <c r="AA62" s="42" t="s">
        <v>145</v>
      </c>
      <c r="AB62" s="42">
        <f t="shared" si="2"/>
        <v>1.2</v>
      </c>
      <c r="AC62" s="43">
        <f t="shared" si="3"/>
        <v>23.16</v>
      </c>
      <c r="AD62" s="38">
        <f t="shared" si="4"/>
        <v>653.11</v>
      </c>
      <c r="AE62" s="38">
        <f>ROUND(22833.33/O62*T62,2)</f>
        <v>7988.83</v>
      </c>
      <c r="AF62" s="38">
        <f t="shared" si="5"/>
        <v>9155203.5800000001</v>
      </c>
      <c r="AG62" s="38">
        <f t="shared" si="6"/>
        <v>9147214.75</v>
      </c>
      <c r="AH62" s="38">
        <f t="shared" si="7"/>
        <v>9139225.9199999999</v>
      </c>
      <c r="AI62" s="38">
        <f t="shared" si="8"/>
        <v>9131237.0899999999</v>
      </c>
      <c r="AJ62" s="38">
        <f t="shared" si="9"/>
        <v>9123248.2599999998</v>
      </c>
      <c r="AK62" s="38">
        <f t="shared" si="21"/>
        <v>9115259.4299999997</v>
      </c>
      <c r="AL62" s="38">
        <f t="shared" si="21"/>
        <v>9107270.5999999996</v>
      </c>
      <c r="AM62" s="38">
        <f t="shared" si="21"/>
        <v>9099281.7699999996</v>
      </c>
      <c r="AN62" s="38">
        <f t="shared" si="21"/>
        <v>9091292.9399999995</v>
      </c>
      <c r="AO62" s="38">
        <f t="shared" si="21"/>
        <v>9083304.1099999994</v>
      </c>
      <c r="AP62" s="38">
        <f t="shared" si="21"/>
        <v>9075315.2799999993</v>
      </c>
      <c r="AQ62" s="38">
        <f t="shared" si="21"/>
        <v>9067326.4499999993</v>
      </c>
      <c r="AR62" s="38">
        <f t="shared" si="21"/>
        <v>9059337.6199999992</v>
      </c>
      <c r="AS62" s="38">
        <f t="shared" si="16"/>
        <v>136609.06</v>
      </c>
      <c r="AT62" s="38">
        <f t="shared" si="11"/>
        <v>137262.16999999998</v>
      </c>
      <c r="AU62" s="38">
        <f t="shared" si="12"/>
        <v>7988.83</v>
      </c>
      <c r="AV62" s="68">
        <f t="shared" si="19"/>
        <v>11438.51</v>
      </c>
      <c r="AW62" s="38">
        <f t="shared" si="14"/>
        <v>7988.83</v>
      </c>
      <c r="AX62" s="38"/>
      <c r="AY62" s="38"/>
      <c r="AZ62" s="44"/>
      <c r="BA62" s="45"/>
      <c r="BB62" s="45"/>
      <c r="BC62" s="45"/>
      <c r="BD62" s="45"/>
    </row>
    <row r="63" spans="1:56" s="64" customFormat="1" ht="36" x14ac:dyDescent="0.25">
      <c r="A63" s="49"/>
      <c r="B63" s="49">
        <v>91</v>
      </c>
      <c r="C63" s="49" t="s">
        <v>58</v>
      </c>
      <c r="D63" s="49" t="s">
        <v>140</v>
      </c>
      <c r="E63" s="50" t="s">
        <v>141</v>
      </c>
      <c r="F63" s="50">
        <v>5</v>
      </c>
      <c r="G63" s="78">
        <v>153</v>
      </c>
      <c r="H63" s="49" t="s">
        <v>163</v>
      </c>
      <c r="I63" s="51">
        <v>1</v>
      </c>
      <c r="J63" s="52">
        <v>33282000</v>
      </c>
      <c r="K63" s="52">
        <f>ROUNDUP($J$63/O63*T63,2)</f>
        <v>9076909.0999999996</v>
      </c>
      <c r="L63" s="53">
        <v>31784309.989999998</v>
      </c>
      <c r="M63" s="53">
        <f>IF(V63="Да",ROUND($L$63/O63*T63,2),L63)</f>
        <v>8668448.1799999997</v>
      </c>
      <c r="N63" s="51">
        <v>3</v>
      </c>
      <c r="O63" s="51">
        <v>97.9</v>
      </c>
      <c r="P63" s="51">
        <v>55.2</v>
      </c>
      <c r="Q63" s="79">
        <f>26.7</f>
        <v>26.7</v>
      </c>
      <c r="R63" s="55">
        <f>O63-SUM($Q$63:$Q$65)</f>
        <v>42.70000000000001</v>
      </c>
      <c r="S63" s="88">
        <f>R63/SUM($W$63:$W$65)</f>
        <v>21.350000000000005</v>
      </c>
      <c r="T63" s="51">
        <f>ROUND(Q63+S63*W63,2)</f>
        <v>26.7</v>
      </c>
      <c r="U63" s="22" t="s">
        <v>164</v>
      </c>
      <c r="V63" s="58" t="s">
        <v>104</v>
      </c>
      <c r="W63" s="49">
        <v>0</v>
      </c>
      <c r="X63" s="49" t="s">
        <v>165</v>
      </c>
      <c r="Y63" s="59"/>
      <c r="Z63" s="59">
        <v>19.3</v>
      </c>
      <c r="AA63" s="59" t="s">
        <v>145</v>
      </c>
      <c r="AB63" s="59">
        <f t="shared" si="2"/>
        <v>1.2</v>
      </c>
      <c r="AC63" s="60">
        <f t="shared" si="3"/>
        <v>23.16</v>
      </c>
      <c r="AD63" s="53">
        <f t="shared" si="4"/>
        <v>618.37</v>
      </c>
      <c r="AE63" s="53">
        <f>ROUNDDOWN(27735/O63*T63,2)</f>
        <v>7564.09</v>
      </c>
      <c r="AF63" s="53">
        <f t="shared" si="5"/>
        <v>8668448.1799999997</v>
      </c>
      <c r="AG63" s="53">
        <f t="shared" si="6"/>
        <v>8660884.0899999999</v>
      </c>
      <c r="AH63" s="53">
        <f t="shared" si="7"/>
        <v>8653320</v>
      </c>
      <c r="AI63" s="53">
        <f t="shared" si="8"/>
        <v>8645755.9100000001</v>
      </c>
      <c r="AJ63" s="53">
        <f t="shared" si="9"/>
        <v>8638191.8200000003</v>
      </c>
      <c r="AK63" s="53">
        <f t="shared" si="21"/>
        <v>8630627.7300000004</v>
      </c>
      <c r="AL63" s="53">
        <f t="shared" si="21"/>
        <v>8623063.6400000006</v>
      </c>
      <c r="AM63" s="53">
        <f t="shared" si="21"/>
        <v>8615499.5500000007</v>
      </c>
      <c r="AN63" s="53">
        <f t="shared" si="21"/>
        <v>8607935.4600000009</v>
      </c>
      <c r="AO63" s="53">
        <f t="shared" si="21"/>
        <v>8600371.370000001</v>
      </c>
      <c r="AP63" s="53">
        <f t="shared" si="21"/>
        <v>8592807.2800000012</v>
      </c>
      <c r="AQ63" s="53">
        <f t="shared" si="21"/>
        <v>8585243.1900000013</v>
      </c>
      <c r="AR63" s="53">
        <f t="shared" si="21"/>
        <v>8577679.1000000015</v>
      </c>
      <c r="AS63" s="53">
        <f t="shared" si="16"/>
        <v>129345.95</v>
      </c>
      <c r="AT63" s="53">
        <f t="shared" si="11"/>
        <v>129964.31999999999</v>
      </c>
      <c r="AU63" s="53">
        <f t="shared" si="12"/>
        <v>7564.09</v>
      </c>
      <c r="AV63" s="61">
        <f t="shared" si="19"/>
        <v>10830.36</v>
      </c>
      <c r="AW63" s="53">
        <f t="shared" si="14"/>
        <v>7564.09</v>
      </c>
      <c r="AX63" s="53"/>
      <c r="AY63" s="53"/>
      <c r="AZ63" s="62"/>
      <c r="BA63" s="63"/>
      <c r="BB63" s="63"/>
      <c r="BC63" s="63"/>
      <c r="BD63" s="63"/>
    </row>
    <row r="64" spans="1:56" s="104" customFormat="1" ht="36" x14ac:dyDescent="0.25">
      <c r="A64" s="89"/>
      <c r="B64" s="90">
        <v>92</v>
      </c>
      <c r="C64" s="90" t="s">
        <v>58</v>
      </c>
      <c r="D64" s="90" t="s">
        <v>140</v>
      </c>
      <c r="E64" s="91" t="s">
        <v>141</v>
      </c>
      <c r="F64" s="91">
        <v>5</v>
      </c>
      <c r="G64" s="92">
        <v>153</v>
      </c>
      <c r="H64" s="90" t="s">
        <v>163</v>
      </c>
      <c r="I64" s="89"/>
      <c r="J64" s="93"/>
      <c r="K64" s="93">
        <f>ROUND($J$63/O64*T64,2)</f>
        <v>12221531.15</v>
      </c>
      <c r="L64" s="94"/>
      <c r="M64" s="94">
        <f>IF(V64="Да",ROUND($L$63/O64*T64,2),L64)</f>
        <v>11671562.25</v>
      </c>
      <c r="N64" s="89">
        <v>3</v>
      </c>
      <c r="O64" s="89">
        <v>97.9</v>
      </c>
      <c r="P64" s="89">
        <v>55.2</v>
      </c>
      <c r="Q64" s="89">
        <v>14.6</v>
      </c>
      <c r="R64" s="95">
        <f>O64-SUM($Q$63:$Q$65)</f>
        <v>42.70000000000001</v>
      </c>
      <c r="S64" s="96">
        <f>R64/SUM($W$63:$W$65)</f>
        <v>21.350000000000005</v>
      </c>
      <c r="T64" s="89">
        <f>ROUNDUP(Q64+S64*W64,2)</f>
        <v>35.950000000000003</v>
      </c>
      <c r="U64" s="97" t="s">
        <v>166</v>
      </c>
      <c r="V64" s="98" t="s">
        <v>104</v>
      </c>
      <c r="W64" s="90">
        <v>1</v>
      </c>
      <c r="X64" s="90" t="s">
        <v>167</v>
      </c>
      <c r="Y64" s="99"/>
      <c r="Z64" s="99">
        <v>19.3</v>
      </c>
      <c r="AA64" s="99" t="s">
        <v>145</v>
      </c>
      <c r="AB64" s="99">
        <f t="shared" si="2"/>
        <v>1.2</v>
      </c>
      <c r="AC64" s="100">
        <f t="shared" si="3"/>
        <v>23.16</v>
      </c>
      <c r="AD64" s="94">
        <f t="shared" si="4"/>
        <v>832.6</v>
      </c>
      <c r="AE64" s="94">
        <f>ROUNDUP(27735/O64*T64,2)</f>
        <v>10184.61</v>
      </c>
      <c r="AF64" s="94">
        <f t="shared" si="5"/>
        <v>11671562.25</v>
      </c>
      <c r="AG64" s="94">
        <f t="shared" si="6"/>
        <v>11661377.640000001</v>
      </c>
      <c r="AH64" s="94">
        <f t="shared" si="7"/>
        <v>11651193.030000001</v>
      </c>
      <c r="AI64" s="94">
        <f t="shared" si="8"/>
        <v>11641008.420000002</v>
      </c>
      <c r="AJ64" s="94">
        <f t="shared" si="9"/>
        <v>11630823.810000002</v>
      </c>
      <c r="AK64" s="94">
        <f t="shared" si="21"/>
        <v>11620639.200000003</v>
      </c>
      <c r="AL64" s="94">
        <f t="shared" si="21"/>
        <v>11610454.590000004</v>
      </c>
      <c r="AM64" s="94">
        <f t="shared" si="21"/>
        <v>11600269.980000004</v>
      </c>
      <c r="AN64" s="94">
        <f t="shared" si="21"/>
        <v>11590085.370000005</v>
      </c>
      <c r="AO64" s="94">
        <f t="shared" si="21"/>
        <v>11579900.760000005</v>
      </c>
      <c r="AP64" s="94">
        <f t="shared" si="21"/>
        <v>11569716.150000006</v>
      </c>
      <c r="AQ64" s="94">
        <f t="shared" si="21"/>
        <v>11559531.540000007</v>
      </c>
      <c r="AR64" s="94">
        <f t="shared" si="21"/>
        <v>11549346.930000007</v>
      </c>
      <c r="AS64" s="94">
        <f t="shared" si="16"/>
        <v>174156.82</v>
      </c>
      <c r="AT64" s="94">
        <f t="shared" si="11"/>
        <v>174989.42</v>
      </c>
      <c r="AU64" s="94">
        <f t="shared" si="12"/>
        <v>10184.61</v>
      </c>
      <c r="AV64" s="101">
        <f t="shared" si="19"/>
        <v>14582.45</v>
      </c>
      <c r="AW64" s="94">
        <f t="shared" si="14"/>
        <v>10184.61</v>
      </c>
      <c r="AX64" s="94"/>
      <c r="AY64" s="94"/>
      <c r="AZ64" s="102"/>
      <c r="BA64" s="103"/>
      <c r="BB64" s="103"/>
      <c r="BC64" s="103"/>
      <c r="BD64" s="103"/>
    </row>
    <row r="65" spans="1:56" s="104" customFormat="1" ht="36" x14ac:dyDescent="0.25">
      <c r="A65" s="89"/>
      <c r="B65" s="90">
        <v>93</v>
      </c>
      <c r="C65" s="90" t="s">
        <v>58</v>
      </c>
      <c r="D65" s="90" t="s">
        <v>140</v>
      </c>
      <c r="E65" s="91" t="s">
        <v>141</v>
      </c>
      <c r="F65" s="91">
        <v>5</v>
      </c>
      <c r="G65" s="92">
        <v>153</v>
      </c>
      <c r="H65" s="90" t="s">
        <v>163</v>
      </c>
      <c r="I65" s="89"/>
      <c r="J65" s="93"/>
      <c r="K65" s="93">
        <f>ROUND($J$63/O65*T65,2)</f>
        <v>11983559.75</v>
      </c>
      <c r="L65" s="94"/>
      <c r="M65" s="94">
        <f>IF(V65="Да",ROUND($L$63/O65*T65,2),L65)</f>
        <v>11444299.560000001</v>
      </c>
      <c r="N65" s="89">
        <v>3</v>
      </c>
      <c r="O65" s="89">
        <v>97.9</v>
      </c>
      <c r="P65" s="89">
        <v>55.2</v>
      </c>
      <c r="Q65" s="89">
        <v>13.9</v>
      </c>
      <c r="R65" s="95">
        <f>O65-SUM($Q$63:$Q$65)</f>
        <v>42.70000000000001</v>
      </c>
      <c r="S65" s="96">
        <f>R65/SUM($W$63:$W$65)</f>
        <v>21.350000000000005</v>
      </c>
      <c r="T65" s="95">
        <f>ROUND(Q65+S65*W65,2)</f>
        <v>35.25</v>
      </c>
      <c r="U65" s="97" t="s">
        <v>168</v>
      </c>
      <c r="V65" s="98" t="s">
        <v>104</v>
      </c>
      <c r="W65" s="90">
        <v>1</v>
      </c>
      <c r="X65" s="90" t="s">
        <v>169</v>
      </c>
      <c r="Y65" s="99"/>
      <c r="Z65" s="99">
        <v>19.3</v>
      </c>
      <c r="AA65" s="99" t="s">
        <v>145</v>
      </c>
      <c r="AB65" s="99">
        <f t="shared" si="2"/>
        <v>1.2</v>
      </c>
      <c r="AC65" s="100">
        <f t="shared" si="3"/>
        <v>23.16</v>
      </c>
      <c r="AD65" s="94">
        <f t="shared" si="4"/>
        <v>816.39</v>
      </c>
      <c r="AE65" s="94">
        <f>ROUND(27735/O65*T65,2)</f>
        <v>9986.2999999999993</v>
      </c>
      <c r="AF65" s="94">
        <f t="shared" si="5"/>
        <v>11444299.560000001</v>
      </c>
      <c r="AG65" s="94">
        <f t="shared" si="6"/>
        <v>11434313.26</v>
      </c>
      <c r="AH65" s="94">
        <f t="shared" si="7"/>
        <v>11424326.959999999</v>
      </c>
      <c r="AI65" s="94">
        <f t="shared" si="8"/>
        <v>11414340.659999998</v>
      </c>
      <c r="AJ65" s="94">
        <f t="shared" si="9"/>
        <v>11404354.359999998</v>
      </c>
      <c r="AK65" s="94">
        <f t="shared" si="21"/>
        <v>11394368.059999997</v>
      </c>
      <c r="AL65" s="94">
        <f t="shared" si="21"/>
        <v>11384381.759999996</v>
      </c>
      <c r="AM65" s="94">
        <f t="shared" si="21"/>
        <v>11374395.459999995</v>
      </c>
      <c r="AN65" s="94">
        <f t="shared" si="21"/>
        <v>11364409.159999995</v>
      </c>
      <c r="AO65" s="94">
        <f t="shared" si="21"/>
        <v>11354422.859999994</v>
      </c>
      <c r="AP65" s="94">
        <f t="shared" si="21"/>
        <v>11344436.559999993</v>
      </c>
      <c r="AQ65" s="94">
        <f t="shared" si="21"/>
        <v>11334450.259999992</v>
      </c>
      <c r="AR65" s="94">
        <f t="shared" si="21"/>
        <v>11324463.959999992</v>
      </c>
      <c r="AS65" s="94">
        <f t="shared" si="16"/>
        <v>170765.73</v>
      </c>
      <c r="AT65" s="94">
        <f t="shared" si="11"/>
        <v>171582.12000000002</v>
      </c>
      <c r="AU65" s="94">
        <f t="shared" si="12"/>
        <v>9986.2999999999993</v>
      </c>
      <c r="AV65" s="101">
        <f t="shared" si="19"/>
        <v>14298.51</v>
      </c>
      <c r="AW65" s="94">
        <f t="shared" si="14"/>
        <v>9986.2999999999993</v>
      </c>
      <c r="AX65" s="94"/>
      <c r="AY65" s="94"/>
      <c r="AZ65" s="102"/>
      <c r="BA65" s="103"/>
      <c r="BB65" s="103"/>
      <c r="BC65" s="103"/>
      <c r="BD65" s="103"/>
    </row>
    <row r="66" spans="1:56" s="21" customFormat="1" ht="36" x14ac:dyDescent="0.25">
      <c r="A66" s="7"/>
      <c r="B66" s="7">
        <v>94</v>
      </c>
      <c r="C66" s="7" t="s">
        <v>58</v>
      </c>
      <c r="D66" s="7" t="s">
        <v>140</v>
      </c>
      <c r="E66" s="34" t="s">
        <v>141</v>
      </c>
      <c r="F66" s="34">
        <v>5</v>
      </c>
      <c r="G66" s="7">
        <v>165</v>
      </c>
      <c r="H66" s="105" t="s">
        <v>170</v>
      </c>
      <c r="I66" s="106">
        <v>1</v>
      </c>
      <c r="J66" s="107">
        <v>32466000</v>
      </c>
      <c r="K66" s="107"/>
      <c r="L66" s="108">
        <v>31005030</v>
      </c>
      <c r="M66" s="108">
        <f>L66</f>
        <v>31005030</v>
      </c>
      <c r="N66" s="106">
        <v>3</v>
      </c>
      <c r="O66" s="106">
        <v>95.5</v>
      </c>
      <c r="P66" s="109">
        <v>54</v>
      </c>
      <c r="Q66" s="106"/>
      <c r="R66" s="110"/>
      <c r="S66" s="110"/>
      <c r="T66" s="106"/>
      <c r="U66" s="66" t="s">
        <v>171</v>
      </c>
      <c r="V66" s="14" t="s">
        <v>56</v>
      </c>
      <c r="W66" s="7"/>
      <c r="X66" s="7"/>
      <c r="Y66" s="15"/>
      <c r="Z66" s="15">
        <v>19.3</v>
      </c>
      <c r="AA66" s="15" t="s">
        <v>145</v>
      </c>
      <c r="AB66" s="15">
        <f t="shared" ref="AB66:AB130" si="22">IF(AA66="Зона 1", 1.5,IF(AA66="Зона 2",1.4,IF(AA66="Зона 3",1.2,IF(AA66="Зона 4",1,IF(AA66="Зона 5",0.7,IF(AA66="Зона 6",0.5,"Укажи зону"))))))</f>
        <v>1.2</v>
      </c>
      <c r="AC66" s="16">
        <f t="shared" ref="AC66:AC130" si="23">Z66*AB66</f>
        <v>23.16</v>
      </c>
      <c r="AD66" s="12">
        <f t="shared" ref="AD66:AD130" si="24">IF(V66="Нет",ROUND(AC66*O66,2),ROUND(AC66*T66,2))</f>
        <v>2211.7800000000002</v>
      </c>
      <c r="AE66" s="12">
        <f>ROUND(J66/(100*12),2)</f>
        <v>27055</v>
      </c>
      <c r="AF66" s="12">
        <f t="shared" ref="AF66:AF130" si="25">M66</f>
        <v>31005030</v>
      </c>
      <c r="AG66" s="12">
        <f t="shared" ref="AG66:AG130" si="26">AF66-AE66</f>
        <v>30977975</v>
      </c>
      <c r="AH66" s="12">
        <f t="shared" ref="AH66:AH130" si="27">AG66-AE66</f>
        <v>30950920</v>
      </c>
      <c r="AI66" s="12">
        <f t="shared" ref="AI66:AI130" si="28">AH66-AE66</f>
        <v>30923865</v>
      </c>
      <c r="AJ66" s="12">
        <f t="shared" ref="AJ66:AJ130" si="29">AI66-AE66</f>
        <v>30896810</v>
      </c>
      <c r="AK66" s="12">
        <f t="shared" si="21"/>
        <v>30869755</v>
      </c>
      <c r="AL66" s="12">
        <f t="shared" si="21"/>
        <v>30842700</v>
      </c>
      <c r="AM66" s="12">
        <f t="shared" si="21"/>
        <v>30815645</v>
      </c>
      <c r="AN66" s="12">
        <f t="shared" si="21"/>
        <v>30788590</v>
      </c>
      <c r="AO66" s="12">
        <f t="shared" si="21"/>
        <v>30761535</v>
      </c>
      <c r="AP66" s="12">
        <f t="shared" si="21"/>
        <v>30734480</v>
      </c>
      <c r="AQ66" s="12">
        <f t="shared" si="21"/>
        <v>30707425</v>
      </c>
      <c r="AR66" s="17">
        <f t="shared" si="21"/>
        <v>30680370</v>
      </c>
      <c r="AS66" s="12">
        <f t="shared" si="16"/>
        <v>462640.5</v>
      </c>
      <c r="AT66" s="12">
        <f t="shared" ref="AT66:AT130" si="30">AS66+AD66</f>
        <v>464852.28</v>
      </c>
      <c r="AU66" s="12">
        <f t="shared" ref="AU66:AU130" si="31">AE66</f>
        <v>27055</v>
      </c>
      <c r="AV66" s="18">
        <f t="shared" si="19"/>
        <v>38737.69</v>
      </c>
      <c r="AW66" s="17">
        <f t="shared" ref="AW66:AW130" si="32">AU66</f>
        <v>27055</v>
      </c>
      <c r="AX66" s="12"/>
      <c r="AY66" s="12"/>
      <c r="AZ66" s="19"/>
      <c r="BA66" s="20"/>
      <c r="BB66" s="20"/>
      <c r="BC66" s="20"/>
      <c r="BD66" s="20"/>
    </row>
    <row r="67" spans="1:56" s="21" customFormat="1" ht="36" x14ac:dyDescent="0.25">
      <c r="A67" s="7"/>
      <c r="B67" s="7">
        <v>95</v>
      </c>
      <c r="C67" s="7" t="s">
        <v>58</v>
      </c>
      <c r="D67" s="7" t="s">
        <v>140</v>
      </c>
      <c r="E67" s="34" t="s">
        <v>141</v>
      </c>
      <c r="F67" s="34">
        <v>5</v>
      </c>
      <c r="G67" s="7">
        <v>174</v>
      </c>
      <c r="H67" s="9" t="s">
        <v>172</v>
      </c>
      <c r="I67" s="10">
        <v>1</v>
      </c>
      <c r="J67" s="11">
        <v>33146000</v>
      </c>
      <c r="K67" s="11"/>
      <c r="L67" s="12">
        <v>31654429.819999903</v>
      </c>
      <c r="M67" s="12">
        <f>L67</f>
        <v>31654429.819999903</v>
      </c>
      <c r="N67" s="10">
        <v>3</v>
      </c>
      <c r="O67" s="10">
        <v>97.5</v>
      </c>
      <c r="P67" s="10">
        <v>55.1</v>
      </c>
      <c r="Q67" s="10"/>
      <c r="R67" s="10"/>
      <c r="S67" s="10"/>
      <c r="T67" s="10"/>
      <c r="U67" s="13" t="s">
        <v>173</v>
      </c>
      <c r="V67" s="14" t="s">
        <v>56</v>
      </c>
      <c r="W67" s="7"/>
      <c r="X67" s="7"/>
      <c r="Y67" s="15"/>
      <c r="Z67" s="15">
        <v>19.3</v>
      </c>
      <c r="AA67" s="15" t="s">
        <v>145</v>
      </c>
      <c r="AB67" s="15">
        <f t="shared" si="22"/>
        <v>1.2</v>
      </c>
      <c r="AC67" s="16">
        <f t="shared" si="23"/>
        <v>23.16</v>
      </c>
      <c r="AD67" s="12">
        <f t="shared" si="24"/>
        <v>2258.1</v>
      </c>
      <c r="AE67" s="12">
        <f>ROUND(J67/(100*12),2)</f>
        <v>27621.67</v>
      </c>
      <c r="AF67" s="12">
        <f t="shared" si="25"/>
        <v>31654429.819999903</v>
      </c>
      <c r="AG67" s="12">
        <f t="shared" si="26"/>
        <v>31626808.149999902</v>
      </c>
      <c r="AH67" s="12">
        <f t="shared" si="27"/>
        <v>31599186.4799999</v>
      </c>
      <c r="AI67" s="12">
        <f t="shared" si="28"/>
        <v>31571564.809999898</v>
      </c>
      <c r="AJ67" s="12">
        <f t="shared" si="29"/>
        <v>31543943.139999896</v>
      </c>
      <c r="AK67" s="12">
        <f t="shared" ref="AK67:AR82" si="33">AJ67-$AE67</f>
        <v>31516321.469999894</v>
      </c>
      <c r="AL67" s="12">
        <f t="shared" si="33"/>
        <v>31488699.799999893</v>
      </c>
      <c r="AM67" s="12">
        <f t="shared" si="33"/>
        <v>31461078.129999891</v>
      </c>
      <c r="AN67" s="12">
        <f t="shared" si="33"/>
        <v>31433456.459999889</v>
      </c>
      <c r="AO67" s="12">
        <f t="shared" si="33"/>
        <v>31405834.789999887</v>
      </c>
      <c r="AP67" s="12">
        <f t="shared" si="33"/>
        <v>31378213.119999886</v>
      </c>
      <c r="AQ67" s="12">
        <f t="shared" si="33"/>
        <v>31350591.449999884</v>
      </c>
      <c r="AR67" s="17">
        <f t="shared" si="33"/>
        <v>31322969.779999882</v>
      </c>
      <c r="AS67" s="12">
        <f t="shared" ref="AS67:AS131" si="34">ROUND(SUM(AF67:AR67)/13*1.5%,2)</f>
        <v>472330.5</v>
      </c>
      <c r="AT67" s="12">
        <f t="shared" si="30"/>
        <v>474588.6</v>
      </c>
      <c r="AU67" s="12">
        <f t="shared" si="31"/>
        <v>27621.67</v>
      </c>
      <c r="AV67" s="18">
        <f t="shared" si="19"/>
        <v>39549.050000000003</v>
      </c>
      <c r="AW67" s="17">
        <f t="shared" si="32"/>
        <v>27621.67</v>
      </c>
      <c r="AX67" s="12"/>
      <c r="AY67" s="12"/>
      <c r="AZ67" s="19"/>
      <c r="BA67" s="20"/>
      <c r="BB67" s="20"/>
      <c r="BC67" s="20"/>
      <c r="BD67" s="20"/>
    </row>
    <row r="68" spans="1:56" s="21" customFormat="1" ht="36" x14ac:dyDescent="0.25">
      <c r="A68" s="7"/>
      <c r="B68" s="7">
        <v>97</v>
      </c>
      <c r="C68" s="7" t="s">
        <v>58</v>
      </c>
      <c r="D68" s="7" t="s">
        <v>140</v>
      </c>
      <c r="E68" s="34" t="s">
        <v>141</v>
      </c>
      <c r="F68" s="34">
        <v>5</v>
      </c>
      <c r="G68" s="7">
        <v>178</v>
      </c>
      <c r="H68" s="73" t="s">
        <v>174</v>
      </c>
      <c r="I68" s="111">
        <v>1</v>
      </c>
      <c r="J68" s="112">
        <v>33010000</v>
      </c>
      <c r="K68" s="112"/>
      <c r="L68" s="113">
        <v>31524550.180000097</v>
      </c>
      <c r="M68" s="113">
        <f>L68</f>
        <v>31524550.180000097</v>
      </c>
      <c r="N68" s="111">
        <v>3</v>
      </c>
      <c r="O68" s="111">
        <v>97.1</v>
      </c>
      <c r="P68" s="111">
        <v>55.2</v>
      </c>
      <c r="Q68" s="111"/>
      <c r="R68" s="111"/>
      <c r="S68" s="111"/>
      <c r="T68" s="111"/>
      <c r="U68" s="77" t="s">
        <v>175</v>
      </c>
      <c r="V68" s="14" t="s">
        <v>56</v>
      </c>
      <c r="W68" s="7"/>
      <c r="X68" s="7"/>
      <c r="Y68" s="15"/>
      <c r="Z68" s="15">
        <v>19.3</v>
      </c>
      <c r="AA68" s="15" t="s">
        <v>145</v>
      </c>
      <c r="AB68" s="15">
        <f t="shared" si="22"/>
        <v>1.2</v>
      </c>
      <c r="AC68" s="16">
        <f t="shared" si="23"/>
        <v>23.16</v>
      </c>
      <c r="AD68" s="12">
        <f t="shared" si="24"/>
        <v>2248.84</v>
      </c>
      <c r="AE68" s="12">
        <f>ROUND(J68/(100*12),2)</f>
        <v>27508.33</v>
      </c>
      <c r="AF68" s="12">
        <f t="shared" si="25"/>
        <v>31524550.180000097</v>
      </c>
      <c r="AG68" s="12">
        <f t="shared" si="26"/>
        <v>31497041.850000098</v>
      </c>
      <c r="AH68" s="12">
        <f t="shared" si="27"/>
        <v>31469533.5200001</v>
      </c>
      <c r="AI68" s="12">
        <f t="shared" si="28"/>
        <v>31442025.190000102</v>
      </c>
      <c r="AJ68" s="12">
        <f t="shared" si="29"/>
        <v>31414516.860000104</v>
      </c>
      <c r="AK68" s="12">
        <f t="shared" si="33"/>
        <v>31387008.530000106</v>
      </c>
      <c r="AL68" s="12">
        <f t="shared" si="33"/>
        <v>31359500.200000107</v>
      </c>
      <c r="AM68" s="12">
        <f t="shared" si="33"/>
        <v>31331991.870000109</v>
      </c>
      <c r="AN68" s="12">
        <f t="shared" si="33"/>
        <v>31304483.540000111</v>
      </c>
      <c r="AO68" s="12">
        <f t="shared" si="33"/>
        <v>31276975.210000113</v>
      </c>
      <c r="AP68" s="12">
        <f t="shared" si="33"/>
        <v>31249466.880000114</v>
      </c>
      <c r="AQ68" s="12">
        <f t="shared" si="33"/>
        <v>31221958.550000116</v>
      </c>
      <c r="AR68" s="17">
        <f t="shared" si="33"/>
        <v>31194450.220000118</v>
      </c>
      <c r="AS68" s="12">
        <f t="shared" si="34"/>
        <v>470392.5</v>
      </c>
      <c r="AT68" s="12">
        <f t="shared" si="30"/>
        <v>472641.34</v>
      </c>
      <c r="AU68" s="12">
        <f t="shared" si="31"/>
        <v>27508.33</v>
      </c>
      <c r="AV68" s="18">
        <f t="shared" si="19"/>
        <v>39386.78</v>
      </c>
      <c r="AW68" s="17">
        <f t="shared" si="32"/>
        <v>27508.33</v>
      </c>
      <c r="AX68" s="12"/>
      <c r="AY68" s="12"/>
      <c r="AZ68" s="19"/>
      <c r="BA68" s="20"/>
      <c r="BB68" s="20"/>
      <c r="BC68" s="20"/>
      <c r="BD68" s="20"/>
    </row>
    <row r="69" spans="1:56" s="21" customFormat="1" ht="36" x14ac:dyDescent="0.25">
      <c r="A69" s="31"/>
      <c r="B69" s="31">
        <v>98</v>
      </c>
      <c r="C69" s="31" t="s">
        <v>58</v>
      </c>
      <c r="D69" s="31" t="s">
        <v>140</v>
      </c>
      <c r="E69" s="35" t="s">
        <v>141</v>
      </c>
      <c r="F69" s="35">
        <v>5</v>
      </c>
      <c r="G69" s="82">
        <v>186</v>
      </c>
      <c r="H69" s="31" t="s">
        <v>176</v>
      </c>
      <c r="I69" s="36">
        <v>1</v>
      </c>
      <c r="J69" s="37">
        <v>33384000</v>
      </c>
      <c r="K69" s="37">
        <f>ROUND($J$69/O69*T69,2)</f>
        <v>4045515.27</v>
      </c>
      <c r="L69" s="38">
        <v>31881720</v>
      </c>
      <c r="M69" s="38">
        <f>IF(V69="Да",ROUND($L$69/O69*T69,2),L69)</f>
        <v>3863467.09</v>
      </c>
      <c r="N69" s="36">
        <v>3</v>
      </c>
      <c r="O69" s="36">
        <v>98.2</v>
      </c>
      <c r="P69" s="36">
        <v>57.5</v>
      </c>
      <c r="Q69" s="36">
        <v>11.9</v>
      </c>
      <c r="R69" s="36">
        <f>O69-SUM($Q$69:$Q$71)</f>
        <v>40.700000000000003</v>
      </c>
      <c r="S69" s="36">
        <f>R69/SUM($W$69:$W$71)</f>
        <v>20.350000000000001</v>
      </c>
      <c r="T69" s="36">
        <f>ROUNDDOWN(Q69+S69*W69,2)</f>
        <v>11.9</v>
      </c>
      <c r="U69" s="22" t="s">
        <v>177</v>
      </c>
      <c r="V69" s="48" t="s">
        <v>104</v>
      </c>
      <c r="W69" s="31"/>
      <c r="X69" s="7" t="s">
        <v>178</v>
      </c>
      <c r="Y69" s="15"/>
      <c r="Z69" s="42">
        <v>19.3</v>
      </c>
      <c r="AA69" s="42" t="s">
        <v>145</v>
      </c>
      <c r="AB69" s="42">
        <f t="shared" si="22"/>
        <v>1.2</v>
      </c>
      <c r="AC69" s="43">
        <f t="shared" si="23"/>
        <v>23.16</v>
      </c>
      <c r="AD69" s="38">
        <f t="shared" si="24"/>
        <v>275.60000000000002</v>
      </c>
      <c r="AE69" s="38">
        <f>ROUND(27820/O69*T69,2)</f>
        <v>3371.26</v>
      </c>
      <c r="AF69" s="38">
        <f t="shared" si="25"/>
        <v>3863467.09</v>
      </c>
      <c r="AG69" s="38">
        <f t="shared" si="26"/>
        <v>3860095.83</v>
      </c>
      <c r="AH69" s="38">
        <f t="shared" si="27"/>
        <v>3856724.5700000003</v>
      </c>
      <c r="AI69" s="38">
        <f t="shared" si="28"/>
        <v>3853353.3100000005</v>
      </c>
      <c r="AJ69" s="38">
        <f t="shared" si="29"/>
        <v>3849982.0500000007</v>
      </c>
      <c r="AK69" s="38">
        <f t="shared" si="33"/>
        <v>3846610.790000001</v>
      </c>
      <c r="AL69" s="38">
        <f t="shared" si="33"/>
        <v>3843239.5300000012</v>
      </c>
      <c r="AM69" s="38">
        <f t="shared" si="33"/>
        <v>3839868.2700000014</v>
      </c>
      <c r="AN69" s="38">
        <f t="shared" si="33"/>
        <v>3836497.0100000016</v>
      </c>
      <c r="AO69" s="38">
        <f t="shared" si="33"/>
        <v>3833125.7500000019</v>
      </c>
      <c r="AP69" s="38">
        <f t="shared" si="33"/>
        <v>3829754.4900000021</v>
      </c>
      <c r="AQ69" s="38">
        <f t="shared" si="33"/>
        <v>3826383.2300000023</v>
      </c>
      <c r="AR69" s="17">
        <f t="shared" si="33"/>
        <v>3823011.9700000025</v>
      </c>
      <c r="AS69" s="38">
        <f t="shared" si="34"/>
        <v>57648.59</v>
      </c>
      <c r="AT69" s="38">
        <f t="shared" si="30"/>
        <v>57924.189999999995</v>
      </c>
      <c r="AU69" s="38">
        <f t="shared" si="31"/>
        <v>3371.26</v>
      </c>
      <c r="AV69" s="18">
        <f t="shared" si="19"/>
        <v>4827.0200000000004</v>
      </c>
      <c r="AW69" s="17">
        <f t="shared" si="32"/>
        <v>3371.26</v>
      </c>
      <c r="AX69" s="38"/>
      <c r="AY69" s="38"/>
      <c r="AZ69" s="44"/>
      <c r="BA69" s="45"/>
      <c r="BB69" s="45"/>
      <c r="BC69" s="45"/>
      <c r="BD69" s="45"/>
    </row>
    <row r="70" spans="1:56" s="21" customFormat="1" ht="36" x14ac:dyDescent="0.25">
      <c r="A70" s="36"/>
      <c r="B70" s="31">
        <v>99</v>
      </c>
      <c r="C70" s="31" t="s">
        <v>58</v>
      </c>
      <c r="D70" s="31" t="s">
        <v>140</v>
      </c>
      <c r="E70" s="35" t="s">
        <v>141</v>
      </c>
      <c r="F70" s="35">
        <v>5</v>
      </c>
      <c r="G70" s="82">
        <v>186</v>
      </c>
      <c r="H70" s="31" t="s">
        <v>176</v>
      </c>
      <c r="I70" s="36"/>
      <c r="J70" s="37"/>
      <c r="K70" s="37">
        <f>ROUND($J$69/O70*T70,2)</f>
        <v>13139425.66</v>
      </c>
      <c r="L70" s="38"/>
      <c r="M70" s="38">
        <f>IF(V70="Да",ROUND($L$69/O70*T70,2),L70)</f>
        <v>12548151.51</v>
      </c>
      <c r="N70" s="36">
        <v>3</v>
      </c>
      <c r="O70" s="36">
        <v>98.2</v>
      </c>
      <c r="P70" s="36">
        <v>57.5</v>
      </c>
      <c r="Q70" s="36">
        <v>18.3</v>
      </c>
      <c r="R70" s="36">
        <f>O70-SUM($Q$69:$Q$71)</f>
        <v>40.700000000000003</v>
      </c>
      <c r="S70" s="36">
        <f>R70/SUM($W$69:$W$71)</f>
        <v>20.350000000000001</v>
      </c>
      <c r="T70" s="36">
        <f>ROUND(Q70+S70*W70,2)</f>
        <v>38.65</v>
      </c>
      <c r="U70" s="13" t="s">
        <v>179</v>
      </c>
      <c r="V70" s="48" t="s">
        <v>104</v>
      </c>
      <c r="W70" s="31">
        <v>1</v>
      </c>
      <c r="X70" s="7" t="s">
        <v>147</v>
      </c>
      <c r="Y70" s="15"/>
      <c r="Z70" s="42">
        <v>19.3</v>
      </c>
      <c r="AA70" s="42" t="s">
        <v>145</v>
      </c>
      <c r="AB70" s="42">
        <f t="shared" si="22"/>
        <v>1.2</v>
      </c>
      <c r="AC70" s="43">
        <f t="shared" si="23"/>
        <v>23.16</v>
      </c>
      <c r="AD70" s="38">
        <f t="shared" si="24"/>
        <v>895.13</v>
      </c>
      <c r="AE70" s="38">
        <f>ROUND(27820/O70*T70,2)</f>
        <v>10949.52</v>
      </c>
      <c r="AF70" s="38">
        <f t="shared" si="25"/>
        <v>12548151.51</v>
      </c>
      <c r="AG70" s="38">
        <f t="shared" si="26"/>
        <v>12537201.99</v>
      </c>
      <c r="AH70" s="38">
        <f t="shared" si="27"/>
        <v>12526252.470000001</v>
      </c>
      <c r="AI70" s="38">
        <f t="shared" si="28"/>
        <v>12515302.950000001</v>
      </c>
      <c r="AJ70" s="38">
        <f t="shared" si="29"/>
        <v>12504353.430000002</v>
      </c>
      <c r="AK70" s="38">
        <f t="shared" si="33"/>
        <v>12493403.910000002</v>
      </c>
      <c r="AL70" s="38">
        <f t="shared" si="33"/>
        <v>12482454.390000002</v>
      </c>
      <c r="AM70" s="38">
        <f t="shared" si="33"/>
        <v>12471504.870000003</v>
      </c>
      <c r="AN70" s="38">
        <f t="shared" si="33"/>
        <v>12460555.350000003</v>
      </c>
      <c r="AO70" s="38">
        <f t="shared" si="33"/>
        <v>12449605.830000004</v>
      </c>
      <c r="AP70" s="38">
        <f t="shared" si="33"/>
        <v>12438656.310000004</v>
      </c>
      <c r="AQ70" s="38">
        <f t="shared" si="33"/>
        <v>12427706.790000005</v>
      </c>
      <c r="AR70" s="17">
        <f t="shared" si="33"/>
        <v>12416757.270000005</v>
      </c>
      <c r="AS70" s="38">
        <f t="shared" si="34"/>
        <v>187236.82</v>
      </c>
      <c r="AT70" s="38">
        <f t="shared" si="30"/>
        <v>188131.95</v>
      </c>
      <c r="AU70" s="38">
        <f t="shared" si="31"/>
        <v>10949.52</v>
      </c>
      <c r="AV70" s="18">
        <f t="shared" si="19"/>
        <v>15677.66</v>
      </c>
      <c r="AW70" s="17">
        <f t="shared" si="32"/>
        <v>10949.52</v>
      </c>
      <c r="AX70" s="38"/>
      <c r="AY70" s="38"/>
      <c r="AZ70" s="44"/>
      <c r="BA70" s="45"/>
      <c r="BB70" s="45"/>
      <c r="BC70" s="45"/>
      <c r="BD70" s="45"/>
    </row>
    <row r="71" spans="1:56" s="21" customFormat="1" ht="36" x14ac:dyDescent="0.25">
      <c r="A71" s="36"/>
      <c r="B71" s="31">
        <v>100</v>
      </c>
      <c r="C71" s="31" t="s">
        <v>58</v>
      </c>
      <c r="D71" s="31" t="s">
        <v>140</v>
      </c>
      <c r="E71" s="35" t="s">
        <v>141</v>
      </c>
      <c r="F71" s="35">
        <v>5</v>
      </c>
      <c r="G71" s="82">
        <v>186</v>
      </c>
      <c r="H71" s="31" t="s">
        <v>176</v>
      </c>
      <c r="I71" s="36"/>
      <c r="J71" s="37"/>
      <c r="K71" s="37">
        <f>ROUNDUP($J$69/O71*T71,2)</f>
        <v>16199059.07</v>
      </c>
      <c r="L71" s="38"/>
      <c r="M71" s="38">
        <f>IF(V71="Да",ROUND($L$69/O71*T71,2),L71)</f>
        <v>15470101.41</v>
      </c>
      <c r="N71" s="36">
        <v>3</v>
      </c>
      <c r="O71" s="36">
        <v>98.2</v>
      </c>
      <c r="P71" s="36">
        <v>57.5</v>
      </c>
      <c r="Q71" s="36">
        <v>27.3</v>
      </c>
      <c r="R71" s="36">
        <f>O71-SUM($Q$69:$Q$71)</f>
        <v>40.700000000000003</v>
      </c>
      <c r="S71" s="36">
        <f>R71/SUM($W$69:$W$71)</f>
        <v>20.350000000000001</v>
      </c>
      <c r="T71" s="36">
        <f>ROUND(Q71+S71*W71,2)</f>
        <v>47.65</v>
      </c>
      <c r="U71" s="13" t="s">
        <v>180</v>
      </c>
      <c r="V71" s="48" t="s">
        <v>104</v>
      </c>
      <c r="W71" s="31">
        <v>1</v>
      </c>
      <c r="X71" s="7" t="s">
        <v>181</v>
      </c>
      <c r="Y71" s="15"/>
      <c r="Z71" s="42">
        <v>19.3</v>
      </c>
      <c r="AA71" s="42" t="s">
        <v>145</v>
      </c>
      <c r="AB71" s="42">
        <f t="shared" si="22"/>
        <v>1.2</v>
      </c>
      <c r="AC71" s="43">
        <f t="shared" si="23"/>
        <v>23.16</v>
      </c>
      <c r="AD71" s="38">
        <f t="shared" si="24"/>
        <v>1103.57</v>
      </c>
      <c r="AE71" s="38">
        <f>ROUNDUP(27820/O71*T71,2)</f>
        <v>13499.22</v>
      </c>
      <c r="AF71" s="38">
        <f t="shared" si="25"/>
        <v>15470101.41</v>
      </c>
      <c r="AG71" s="38">
        <f t="shared" si="26"/>
        <v>15456602.189999999</v>
      </c>
      <c r="AH71" s="38">
        <f t="shared" si="27"/>
        <v>15443102.969999999</v>
      </c>
      <c r="AI71" s="38">
        <f t="shared" si="28"/>
        <v>15429603.749999998</v>
      </c>
      <c r="AJ71" s="38">
        <f t="shared" si="29"/>
        <v>15416104.529999997</v>
      </c>
      <c r="AK71" s="38">
        <f t="shared" si="33"/>
        <v>15402605.309999997</v>
      </c>
      <c r="AL71" s="38">
        <f t="shared" si="33"/>
        <v>15389106.089999996</v>
      </c>
      <c r="AM71" s="38">
        <f t="shared" si="33"/>
        <v>15375606.869999995</v>
      </c>
      <c r="AN71" s="38">
        <f t="shared" si="33"/>
        <v>15362107.649999995</v>
      </c>
      <c r="AO71" s="38">
        <f t="shared" si="33"/>
        <v>15348608.429999994</v>
      </c>
      <c r="AP71" s="38">
        <f t="shared" si="33"/>
        <v>15335109.209999993</v>
      </c>
      <c r="AQ71" s="38">
        <f t="shared" si="33"/>
        <v>15321609.989999993</v>
      </c>
      <c r="AR71" s="17">
        <f t="shared" si="33"/>
        <v>15308110.769999992</v>
      </c>
      <c r="AS71" s="38">
        <f t="shared" si="34"/>
        <v>230836.59</v>
      </c>
      <c r="AT71" s="38">
        <f t="shared" si="30"/>
        <v>231940.16</v>
      </c>
      <c r="AU71" s="38">
        <f t="shared" si="31"/>
        <v>13499.22</v>
      </c>
      <c r="AV71" s="18">
        <f t="shared" si="19"/>
        <v>19328.349999999999</v>
      </c>
      <c r="AW71" s="17">
        <f t="shared" si="32"/>
        <v>13499.22</v>
      </c>
      <c r="AX71" s="38"/>
      <c r="AY71" s="38"/>
      <c r="AZ71" s="44"/>
      <c r="BA71" s="45"/>
      <c r="BB71" s="45"/>
      <c r="BC71" s="45"/>
      <c r="BD71" s="45"/>
    </row>
    <row r="72" spans="1:56" s="64" customFormat="1" ht="36" x14ac:dyDescent="0.25">
      <c r="A72" s="49"/>
      <c r="B72" s="49">
        <v>102</v>
      </c>
      <c r="C72" s="49" t="s">
        <v>58</v>
      </c>
      <c r="D72" s="49" t="s">
        <v>140</v>
      </c>
      <c r="E72" s="50" t="s">
        <v>141</v>
      </c>
      <c r="F72" s="50">
        <v>5</v>
      </c>
      <c r="G72" s="49">
        <v>205</v>
      </c>
      <c r="H72" s="49" t="s">
        <v>182</v>
      </c>
      <c r="I72" s="51">
        <v>1</v>
      </c>
      <c r="J72" s="52">
        <v>27740000</v>
      </c>
      <c r="K72" s="52"/>
      <c r="L72" s="53">
        <v>26491699.819999903</v>
      </c>
      <c r="M72" s="53">
        <f>L72</f>
        <v>26491699.819999903</v>
      </c>
      <c r="N72" s="51">
        <v>3</v>
      </c>
      <c r="O72" s="51">
        <v>81.599999999999994</v>
      </c>
      <c r="P72" s="51">
        <v>45.4</v>
      </c>
      <c r="Q72" s="51"/>
      <c r="R72" s="51"/>
      <c r="S72" s="51"/>
      <c r="T72" s="51"/>
      <c r="U72" s="22" t="s">
        <v>183</v>
      </c>
      <c r="V72" s="58" t="s">
        <v>56</v>
      </c>
      <c r="W72" s="49"/>
      <c r="X72" s="49"/>
      <c r="Y72" s="59"/>
      <c r="Z72" s="59">
        <v>19.3</v>
      </c>
      <c r="AA72" s="59" t="s">
        <v>145</v>
      </c>
      <c r="AB72" s="59">
        <f t="shared" si="22"/>
        <v>1.2</v>
      </c>
      <c r="AC72" s="60">
        <f t="shared" si="23"/>
        <v>23.16</v>
      </c>
      <c r="AD72" s="53">
        <f t="shared" si="24"/>
        <v>1889.86</v>
      </c>
      <c r="AE72" s="53">
        <f>ROUND(J72/(100*12),2)</f>
        <v>23116.67</v>
      </c>
      <c r="AF72" s="53">
        <f t="shared" si="25"/>
        <v>26491699.819999903</v>
      </c>
      <c r="AG72" s="53">
        <f t="shared" si="26"/>
        <v>26468583.149999902</v>
      </c>
      <c r="AH72" s="53">
        <f t="shared" si="27"/>
        <v>26445466.4799999</v>
      </c>
      <c r="AI72" s="53">
        <f t="shared" si="28"/>
        <v>26422349.809999898</v>
      </c>
      <c r="AJ72" s="53">
        <f t="shared" si="29"/>
        <v>26399233.139999896</v>
      </c>
      <c r="AK72" s="53">
        <f t="shared" si="33"/>
        <v>26376116.469999894</v>
      </c>
      <c r="AL72" s="53">
        <f t="shared" si="33"/>
        <v>26352999.799999893</v>
      </c>
      <c r="AM72" s="53">
        <f t="shared" si="33"/>
        <v>26329883.129999891</v>
      </c>
      <c r="AN72" s="53">
        <f t="shared" si="33"/>
        <v>26306766.459999889</v>
      </c>
      <c r="AO72" s="53">
        <f t="shared" si="33"/>
        <v>26283649.789999887</v>
      </c>
      <c r="AP72" s="53">
        <f t="shared" si="33"/>
        <v>26260533.119999886</v>
      </c>
      <c r="AQ72" s="53">
        <f t="shared" si="33"/>
        <v>26237416.449999884</v>
      </c>
      <c r="AR72" s="53">
        <f t="shared" si="33"/>
        <v>26214299.779999882</v>
      </c>
      <c r="AS72" s="53">
        <f t="shared" si="34"/>
        <v>395295</v>
      </c>
      <c r="AT72" s="53">
        <f t="shared" si="30"/>
        <v>397184.86</v>
      </c>
      <c r="AU72" s="53">
        <f t="shared" si="31"/>
        <v>23116.67</v>
      </c>
      <c r="AV72" s="61">
        <f t="shared" si="19"/>
        <v>33098.74</v>
      </c>
      <c r="AW72" s="53">
        <f t="shared" si="32"/>
        <v>23116.67</v>
      </c>
      <c r="AX72" s="53"/>
      <c r="AY72" s="53"/>
      <c r="AZ72" s="62"/>
      <c r="BA72" s="63"/>
      <c r="BB72" s="63"/>
      <c r="BC72" s="63"/>
      <c r="BD72" s="63"/>
    </row>
    <row r="73" spans="1:56" s="21" customFormat="1" ht="36" x14ac:dyDescent="0.25">
      <c r="A73" s="7"/>
      <c r="B73" s="7">
        <v>103</v>
      </c>
      <c r="C73" s="7" t="s">
        <v>58</v>
      </c>
      <c r="D73" s="7" t="s">
        <v>140</v>
      </c>
      <c r="E73" s="34" t="s">
        <v>141</v>
      </c>
      <c r="F73" s="34">
        <v>5</v>
      </c>
      <c r="G73" s="7">
        <v>207</v>
      </c>
      <c r="H73" s="9" t="s">
        <v>184</v>
      </c>
      <c r="I73" s="10">
        <v>1</v>
      </c>
      <c r="J73" s="11">
        <v>33486000</v>
      </c>
      <c r="K73" s="11"/>
      <c r="L73" s="12">
        <v>31979130</v>
      </c>
      <c r="M73" s="12">
        <f>L73</f>
        <v>31979130</v>
      </c>
      <c r="N73" s="10">
        <v>3</v>
      </c>
      <c r="O73" s="10">
        <v>98.5</v>
      </c>
      <c r="P73" s="10">
        <v>57.8</v>
      </c>
      <c r="Q73" s="10"/>
      <c r="R73" s="10"/>
      <c r="S73" s="10"/>
      <c r="T73" s="10"/>
      <c r="U73" s="13" t="s">
        <v>185</v>
      </c>
      <c r="V73" s="14" t="s">
        <v>56</v>
      </c>
      <c r="W73" s="7"/>
      <c r="X73" s="7"/>
      <c r="Y73" s="15"/>
      <c r="Z73" s="15">
        <v>19.3</v>
      </c>
      <c r="AA73" s="15" t="s">
        <v>145</v>
      </c>
      <c r="AB73" s="15">
        <f t="shared" si="22"/>
        <v>1.2</v>
      </c>
      <c r="AC73" s="16">
        <f t="shared" si="23"/>
        <v>23.16</v>
      </c>
      <c r="AD73" s="12">
        <f t="shared" si="24"/>
        <v>2281.2600000000002</v>
      </c>
      <c r="AE73" s="12">
        <f>ROUND(J73/(100*12),2)</f>
        <v>27905</v>
      </c>
      <c r="AF73" s="12">
        <f t="shared" si="25"/>
        <v>31979130</v>
      </c>
      <c r="AG73" s="12">
        <f t="shared" si="26"/>
        <v>31951225</v>
      </c>
      <c r="AH73" s="12">
        <f t="shared" si="27"/>
        <v>31923320</v>
      </c>
      <c r="AI73" s="12">
        <f t="shared" si="28"/>
        <v>31895415</v>
      </c>
      <c r="AJ73" s="12">
        <f t="shared" si="29"/>
        <v>31867510</v>
      </c>
      <c r="AK73" s="12">
        <f t="shared" si="33"/>
        <v>31839605</v>
      </c>
      <c r="AL73" s="12">
        <f t="shared" si="33"/>
        <v>31811700</v>
      </c>
      <c r="AM73" s="12">
        <f t="shared" si="33"/>
        <v>31783795</v>
      </c>
      <c r="AN73" s="12">
        <f t="shared" si="33"/>
        <v>31755890</v>
      </c>
      <c r="AO73" s="12">
        <f t="shared" si="33"/>
        <v>31727985</v>
      </c>
      <c r="AP73" s="12">
        <f t="shared" si="33"/>
        <v>31700080</v>
      </c>
      <c r="AQ73" s="12">
        <f t="shared" si="33"/>
        <v>31672175</v>
      </c>
      <c r="AR73" s="17">
        <f t="shared" si="33"/>
        <v>31644270</v>
      </c>
      <c r="AS73" s="12">
        <f t="shared" si="34"/>
        <v>477175.5</v>
      </c>
      <c r="AT73" s="12">
        <f t="shared" si="30"/>
        <v>479456.76</v>
      </c>
      <c r="AU73" s="12">
        <f t="shared" si="31"/>
        <v>27905</v>
      </c>
      <c r="AV73" s="18">
        <f t="shared" si="19"/>
        <v>39954.730000000003</v>
      </c>
      <c r="AW73" s="17">
        <f t="shared" si="32"/>
        <v>27905</v>
      </c>
      <c r="AX73" s="12"/>
      <c r="AY73" s="12"/>
      <c r="AZ73" s="19"/>
      <c r="BA73" s="20"/>
      <c r="BB73" s="20"/>
      <c r="BC73" s="20"/>
      <c r="BD73" s="20"/>
    </row>
    <row r="74" spans="1:56" s="21" customFormat="1" ht="36" x14ac:dyDescent="0.25">
      <c r="A74" s="7"/>
      <c r="B74" s="7">
        <v>104</v>
      </c>
      <c r="C74" s="7" t="s">
        <v>58</v>
      </c>
      <c r="D74" s="7" t="s">
        <v>140</v>
      </c>
      <c r="E74" s="34" t="s">
        <v>141</v>
      </c>
      <c r="F74" s="34">
        <v>5</v>
      </c>
      <c r="G74" s="7">
        <v>208</v>
      </c>
      <c r="H74" s="73" t="s">
        <v>186</v>
      </c>
      <c r="I74" s="111">
        <v>1</v>
      </c>
      <c r="J74" s="112">
        <v>27740000</v>
      </c>
      <c r="K74" s="112"/>
      <c r="L74" s="113">
        <v>26491699.819999903</v>
      </c>
      <c r="M74" s="113">
        <f>L74</f>
        <v>26491699.819999903</v>
      </c>
      <c r="N74" s="111">
        <v>3</v>
      </c>
      <c r="O74" s="111">
        <v>81.599999999999994</v>
      </c>
      <c r="P74" s="111">
        <v>45.4</v>
      </c>
      <c r="Q74" s="111"/>
      <c r="R74" s="111"/>
      <c r="S74" s="111"/>
      <c r="T74" s="111"/>
      <c r="U74" s="77" t="s">
        <v>187</v>
      </c>
      <c r="V74" s="14" t="s">
        <v>56</v>
      </c>
      <c r="W74" s="7"/>
      <c r="X74" s="7"/>
      <c r="Y74" s="15"/>
      <c r="Z74" s="15">
        <v>19.3</v>
      </c>
      <c r="AA74" s="15" t="s">
        <v>145</v>
      </c>
      <c r="AB74" s="15">
        <f t="shared" si="22"/>
        <v>1.2</v>
      </c>
      <c r="AC74" s="16">
        <f t="shared" si="23"/>
        <v>23.16</v>
      </c>
      <c r="AD74" s="12">
        <f t="shared" si="24"/>
        <v>1889.86</v>
      </c>
      <c r="AE74" s="12">
        <f>ROUND(J74/(100*12),2)</f>
        <v>23116.67</v>
      </c>
      <c r="AF74" s="12">
        <f t="shared" si="25"/>
        <v>26491699.819999903</v>
      </c>
      <c r="AG74" s="12">
        <f t="shared" si="26"/>
        <v>26468583.149999902</v>
      </c>
      <c r="AH74" s="12">
        <f t="shared" si="27"/>
        <v>26445466.4799999</v>
      </c>
      <c r="AI74" s="12">
        <f t="shared" si="28"/>
        <v>26422349.809999898</v>
      </c>
      <c r="AJ74" s="12">
        <f t="shared" si="29"/>
        <v>26399233.139999896</v>
      </c>
      <c r="AK74" s="12">
        <f t="shared" si="33"/>
        <v>26376116.469999894</v>
      </c>
      <c r="AL74" s="12">
        <f t="shared" si="33"/>
        <v>26352999.799999893</v>
      </c>
      <c r="AM74" s="12">
        <f t="shared" si="33"/>
        <v>26329883.129999891</v>
      </c>
      <c r="AN74" s="12">
        <f t="shared" si="33"/>
        <v>26306766.459999889</v>
      </c>
      <c r="AO74" s="12">
        <f t="shared" si="33"/>
        <v>26283649.789999887</v>
      </c>
      <c r="AP74" s="12">
        <f t="shared" si="33"/>
        <v>26260533.119999886</v>
      </c>
      <c r="AQ74" s="12">
        <f t="shared" si="33"/>
        <v>26237416.449999884</v>
      </c>
      <c r="AR74" s="17">
        <f t="shared" si="33"/>
        <v>26214299.779999882</v>
      </c>
      <c r="AS74" s="12">
        <f t="shared" si="34"/>
        <v>395295</v>
      </c>
      <c r="AT74" s="12">
        <f t="shared" si="30"/>
        <v>397184.86</v>
      </c>
      <c r="AU74" s="12">
        <f t="shared" si="31"/>
        <v>23116.67</v>
      </c>
      <c r="AV74" s="18">
        <f t="shared" si="19"/>
        <v>33098.74</v>
      </c>
      <c r="AW74" s="17">
        <f t="shared" si="32"/>
        <v>23116.67</v>
      </c>
      <c r="AX74" s="12"/>
      <c r="AY74" s="12"/>
      <c r="AZ74" s="19"/>
      <c r="BA74" s="20"/>
      <c r="BB74" s="20"/>
      <c r="BC74" s="20"/>
      <c r="BD74" s="20"/>
    </row>
    <row r="75" spans="1:56" s="21" customFormat="1" ht="36" x14ac:dyDescent="0.25">
      <c r="A75" s="49"/>
      <c r="B75" s="49">
        <v>105</v>
      </c>
      <c r="C75" s="49" t="s">
        <v>58</v>
      </c>
      <c r="D75" s="49" t="s">
        <v>140</v>
      </c>
      <c r="E75" s="50" t="s">
        <v>141</v>
      </c>
      <c r="F75" s="50">
        <v>5</v>
      </c>
      <c r="G75" s="78">
        <v>424</v>
      </c>
      <c r="H75" s="49" t="s">
        <v>188</v>
      </c>
      <c r="I75" s="51">
        <v>1</v>
      </c>
      <c r="J75" s="52">
        <v>33486000</v>
      </c>
      <c r="K75" s="52">
        <f>ROUND($J$75/O75*T75,2)</f>
        <v>23117238.579999998</v>
      </c>
      <c r="L75" s="53">
        <v>31979130.010000002</v>
      </c>
      <c r="M75" s="53">
        <f>IF(V75="Да",ROUND($L$75/O75*T75,2),L75)</f>
        <v>22076962.850000001</v>
      </c>
      <c r="N75" s="51">
        <v>3</v>
      </c>
      <c r="O75" s="51">
        <v>98.5</v>
      </c>
      <c r="P75" s="51">
        <v>57.5</v>
      </c>
      <c r="Q75" s="51">
        <v>27</v>
      </c>
      <c r="R75" s="51">
        <f>O75-SUM($Q$75:$Q$77)</f>
        <v>41</v>
      </c>
      <c r="S75" s="51">
        <f>R75/SUM($W$75:$W$77)</f>
        <v>41</v>
      </c>
      <c r="T75" s="51">
        <f>ROUND(Q75+S75*W75,2)</f>
        <v>68</v>
      </c>
      <c r="U75" s="85" t="s">
        <v>189</v>
      </c>
      <c r="V75" s="58" t="s">
        <v>104</v>
      </c>
      <c r="W75" s="49">
        <v>1</v>
      </c>
      <c r="X75" s="49" t="s">
        <v>190</v>
      </c>
      <c r="Y75" s="59"/>
      <c r="Z75" s="59">
        <v>19.3</v>
      </c>
      <c r="AA75" s="59" t="s">
        <v>145</v>
      </c>
      <c r="AB75" s="59">
        <f t="shared" si="22"/>
        <v>1.2</v>
      </c>
      <c r="AC75" s="60">
        <f t="shared" si="23"/>
        <v>23.16</v>
      </c>
      <c r="AD75" s="53">
        <f t="shared" si="24"/>
        <v>1574.88</v>
      </c>
      <c r="AE75" s="53">
        <f>ROUNDUP(27905/O75*T75,2)</f>
        <v>19264.37</v>
      </c>
      <c r="AF75" s="53">
        <f t="shared" si="25"/>
        <v>22076962.850000001</v>
      </c>
      <c r="AG75" s="53">
        <f t="shared" si="26"/>
        <v>22057698.48</v>
      </c>
      <c r="AH75" s="53">
        <f t="shared" si="27"/>
        <v>22038434.109999999</v>
      </c>
      <c r="AI75" s="53">
        <f t="shared" si="28"/>
        <v>22019169.739999998</v>
      </c>
      <c r="AJ75" s="53">
        <f t="shared" si="29"/>
        <v>21999905.369999997</v>
      </c>
      <c r="AK75" s="53">
        <f t="shared" si="33"/>
        <v>21980640.999999996</v>
      </c>
      <c r="AL75" s="53">
        <f t="shared" si="33"/>
        <v>21961376.629999995</v>
      </c>
      <c r="AM75" s="53">
        <f t="shared" si="33"/>
        <v>21942112.259999994</v>
      </c>
      <c r="AN75" s="53">
        <f t="shared" si="33"/>
        <v>21922847.889999993</v>
      </c>
      <c r="AO75" s="53">
        <f t="shared" si="33"/>
        <v>21903583.519999992</v>
      </c>
      <c r="AP75" s="53">
        <f t="shared" si="33"/>
        <v>21884319.149999991</v>
      </c>
      <c r="AQ75" s="53">
        <f t="shared" si="33"/>
        <v>21865054.77999999</v>
      </c>
      <c r="AR75" s="53">
        <f t="shared" si="33"/>
        <v>21845790.409999989</v>
      </c>
      <c r="AS75" s="53">
        <f t="shared" si="34"/>
        <v>329420.65000000002</v>
      </c>
      <c r="AT75" s="53">
        <f t="shared" si="30"/>
        <v>330995.53000000003</v>
      </c>
      <c r="AU75" s="53">
        <f t="shared" si="31"/>
        <v>19264.37</v>
      </c>
      <c r="AV75" s="61">
        <f t="shared" si="19"/>
        <v>27582.959999999999</v>
      </c>
      <c r="AW75" s="53">
        <f t="shared" si="32"/>
        <v>19264.37</v>
      </c>
      <c r="AX75" s="53"/>
      <c r="AY75" s="53"/>
      <c r="AZ75" s="62"/>
      <c r="BA75" s="81"/>
      <c r="BB75" s="63"/>
      <c r="BC75" s="63"/>
      <c r="BD75" s="63"/>
    </row>
    <row r="76" spans="1:56" s="21" customFormat="1" ht="36" x14ac:dyDescent="0.25">
      <c r="A76" s="51"/>
      <c r="B76" s="49">
        <v>106</v>
      </c>
      <c r="C76" s="49" t="s">
        <v>58</v>
      </c>
      <c r="D76" s="49" t="s">
        <v>140</v>
      </c>
      <c r="E76" s="50" t="s">
        <v>141</v>
      </c>
      <c r="F76" s="50">
        <v>5</v>
      </c>
      <c r="G76" s="78">
        <v>424</v>
      </c>
      <c r="H76" s="49" t="s">
        <v>188</v>
      </c>
      <c r="I76" s="51"/>
      <c r="J76" s="52"/>
      <c r="K76" s="52">
        <f>ROUND($J$75/O76*T76,2)</f>
        <v>6289248.7300000004</v>
      </c>
      <c r="L76" s="53"/>
      <c r="M76" s="53">
        <f>IF(V76="Да",ROUND($L$75/O76*T76,2),L76)</f>
        <v>6006232.54</v>
      </c>
      <c r="N76" s="51">
        <v>3</v>
      </c>
      <c r="O76" s="51">
        <v>98.5</v>
      </c>
      <c r="P76" s="51">
        <v>57.5</v>
      </c>
      <c r="Q76" s="51">
        <v>18.5</v>
      </c>
      <c r="R76" s="51">
        <f>O76-SUM($Q$75:$Q$77)</f>
        <v>41</v>
      </c>
      <c r="S76" s="51">
        <f>R76/SUM($W$75:$W$77)</f>
        <v>41</v>
      </c>
      <c r="T76" s="51">
        <f>ROUND(Q76+S76*W76,2)</f>
        <v>18.5</v>
      </c>
      <c r="U76" s="114" t="s">
        <v>191</v>
      </c>
      <c r="V76" s="58" t="s">
        <v>104</v>
      </c>
      <c r="W76" s="49"/>
      <c r="X76" s="49" t="s">
        <v>192</v>
      </c>
      <c r="Y76" s="59"/>
      <c r="Z76" s="59">
        <v>19.3</v>
      </c>
      <c r="AA76" s="59" t="s">
        <v>145</v>
      </c>
      <c r="AB76" s="59">
        <f t="shared" si="22"/>
        <v>1.2</v>
      </c>
      <c r="AC76" s="60">
        <f t="shared" si="23"/>
        <v>23.16</v>
      </c>
      <c r="AD76" s="53">
        <f t="shared" si="24"/>
        <v>428.46</v>
      </c>
      <c r="AE76" s="53">
        <f>ROUND(27905/O76*T76,2)</f>
        <v>5241.04</v>
      </c>
      <c r="AF76" s="53">
        <f t="shared" si="25"/>
        <v>6006232.54</v>
      </c>
      <c r="AG76" s="53">
        <f t="shared" si="26"/>
        <v>6000991.5</v>
      </c>
      <c r="AH76" s="53">
        <f t="shared" si="27"/>
        <v>5995750.46</v>
      </c>
      <c r="AI76" s="53">
        <f t="shared" si="28"/>
        <v>5990509.4199999999</v>
      </c>
      <c r="AJ76" s="53">
        <f t="shared" si="29"/>
        <v>5985268.3799999999</v>
      </c>
      <c r="AK76" s="53">
        <f t="shared" si="33"/>
        <v>5980027.3399999999</v>
      </c>
      <c r="AL76" s="53">
        <f t="shared" si="33"/>
        <v>5974786.2999999998</v>
      </c>
      <c r="AM76" s="53">
        <f t="shared" si="33"/>
        <v>5969545.2599999998</v>
      </c>
      <c r="AN76" s="53">
        <f t="shared" si="33"/>
        <v>5964304.2199999997</v>
      </c>
      <c r="AO76" s="53">
        <f t="shared" si="33"/>
        <v>5959063.1799999997</v>
      </c>
      <c r="AP76" s="53">
        <f t="shared" si="33"/>
        <v>5953822.1399999997</v>
      </c>
      <c r="AQ76" s="53">
        <f t="shared" si="33"/>
        <v>5948581.0999999996</v>
      </c>
      <c r="AR76" s="53">
        <f t="shared" si="33"/>
        <v>5943340.0599999996</v>
      </c>
      <c r="AS76" s="53">
        <f t="shared" si="34"/>
        <v>89621.79</v>
      </c>
      <c r="AT76" s="53">
        <f t="shared" si="30"/>
        <v>90050.25</v>
      </c>
      <c r="AU76" s="53">
        <f t="shared" si="31"/>
        <v>5241.04</v>
      </c>
      <c r="AV76" s="61">
        <f t="shared" si="19"/>
        <v>7504.19</v>
      </c>
      <c r="AW76" s="53">
        <f t="shared" si="32"/>
        <v>5241.04</v>
      </c>
      <c r="AX76" s="53"/>
      <c r="AY76" s="53"/>
      <c r="AZ76" s="62"/>
      <c r="BA76" s="81"/>
      <c r="BB76" s="63"/>
      <c r="BC76" s="63"/>
      <c r="BD76" s="63"/>
    </row>
    <row r="77" spans="1:56" s="21" customFormat="1" ht="36" x14ac:dyDescent="0.25">
      <c r="A77" s="51"/>
      <c r="B77" s="49">
        <v>107</v>
      </c>
      <c r="C77" s="49" t="s">
        <v>58</v>
      </c>
      <c r="D77" s="49" t="s">
        <v>140</v>
      </c>
      <c r="E77" s="50" t="s">
        <v>141</v>
      </c>
      <c r="F77" s="50">
        <v>5</v>
      </c>
      <c r="G77" s="78">
        <v>424</v>
      </c>
      <c r="H77" s="49" t="s">
        <v>188</v>
      </c>
      <c r="I77" s="51"/>
      <c r="J77" s="52"/>
      <c r="K77" s="52">
        <f>ROUND($J$75/O77*T77,2)</f>
        <v>4079512.69</v>
      </c>
      <c r="L77" s="53"/>
      <c r="M77" s="53">
        <f>IF(V77="Да",ROUND($L$75/O77*T77,2),L77)</f>
        <v>3895934.62</v>
      </c>
      <c r="N77" s="51">
        <v>3</v>
      </c>
      <c r="O77" s="51">
        <v>98.5</v>
      </c>
      <c r="P77" s="51">
        <v>57.5</v>
      </c>
      <c r="Q77" s="51">
        <v>12</v>
      </c>
      <c r="R77" s="51">
        <f>O77-SUM($Q$75:$Q$77)</f>
        <v>41</v>
      </c>
      <c r="S77" s="51">
        <f>R77/SUM($W$75:$W$77)</f>
        <v>41</v>
      </c>
      <c r="T77" s="51">
        <f>ROUNDDOWN(Q77+S77*W77,2)</f>
        <v>12</v>
      </c>
      <c r="U77" s="114" t="s">
        <v>193</v>
      </c>
      <c r="V77" s="58" t="s">
        <v>104</v>
      </c>
      <c r="W77" s="49"/>
      <c r="X77" s="49" t="s">
        <v>194</v>
      </c>
      <c r="Y77" s="59"/>
      <c r="Z77" s="59">
        <v>19.3</v>
      </c>
      <c r="AA77" s="59" t="s">
        <v>145</v>
      </c>
      <c r="AB77" s="59">
        <f t="shared" si="22"/>
        <v>1.2</v>
      </c>
      <c r="AC77" s="60">
        <f t="shared" si="23"/>
        <v>23.16</v>
      </c>
      <c r="AD77" s="53">
        <f t="shared" si="24"/>
        <v>277.92</v>
      </c>
      <c r="AE77" s="53">
        <f>ROUND(27905/O77*T77,2)</f>
        <v>3399.59</v>
      </c>
      <c r="AF77" s="53">
        <f t="shared" si="25"/>
        <v>3895934.62</v>
      </c>
      <c r="AG77" s="53">
        <f t="shared" si="26"/>
        <v>3892535.0300000003</v>
      </c>
      <c r="AH77" s="53">
        <f t="shared" si="27"/>
        <v>3889135.4400000004</v>
      </c>
      <c r="AI77" s="53">
        <f t="shared" si="28"/>
        <v>3885735.8500000006</v>
      </c>
      <c r="AJ77" s="53">
        <f t="shared" si="29"/>
        <v>3882336.2600000007</v>
      </c>
      <c r="AK77" s="53">
        <f t="shared" si="33"/>
        <v>3878936.6700000009</v>
      </c>
      <c r="AL77" s="53">
        <f t="shared" si="33"/>
        <v>3875537.080000001</v>
      </c>
      <c r="AM77" s="53">
        <f t="shared" si="33"/>
        <v>3872137.4900000012</v>
      </c>
      <c r="AN77" s="53">
        <f t="shared" si="33"/>
        <v>3868737.9000000013</v>
      </c>
      <c r="AO77" s="53">
        <f t="shared" si="33"/>
        <v>3865338.3100000015</v>
      </c>
      <c r="AP77" s="53">
        <f t="shared" si="33"/>
        <v>3861938.7200000016</v>
      </c>
      <c r="AQ77" s="53">
        <f t="shared" si="33"/>
        <v>3858539.1300000018</v>
      </c>
      <c r="AR77" s="53">
        <f t="shared" si="33"/>
        <v>3855139.5400000019</v>
      </c>
      <c r="AS77" s="53">
        <f t="shared" si="34"/>
        <v>58133.06</v>
      </c>
      <c r="AT77" s="53">
        <f t="shared" si="30"/>
        <v>58410.979999999996</v>
      </c>
      <c r="AU77" s="53">
        <f t="shared" si="31"/>
        <v>3399.59</v>
      </c>
      <c r="AV77" s="61">
        <f t="shared" si="19"/>
        <v>4867.58</v>
      </c>
      <c r="AW77" s="53">
        <f t="shared" si="32"/>
        <v>3399.59</v>
      </c>
      <c r="AX77" s="53"/>
      <c r="AY77" s="53"/>
      <c r="AZ77" s="62"/>
      <c r="BA77" s="81"/>
      <c r="BB77" s="63"/>
      <c r="BC77" s="63"/>
      <c r="BD77" s="63"/>
    </row>
    <row r="78" spans="1:56" s="64" customFormat="1" ht="36" x14ac:dyDescent="0.25">
      <c r="A78" s="49"/>
      <c r="B78" s="49">
        <v>108</v>
      </c>
      <c r="C78" s="49" t="s">
        <v>58</v>
      </c>
      <c r="D78" s="49" t="s">
        <v>140</v>
      </c>
      <c r="E78" s="50" t="s">
        <v>141</v>
      </c>
      <c r="F78" s="50">
        <v>5</v>
      </c>
      <c r="G78" s="78">
        <v>437</v>
      </c>
      <c r="H78" s="49" t="s">
        <v>195</v>
      </c>
      <c r="I78" s="51">
        <v>1</v>
      </c>
      <c r="J78" s="52">
        <v>27094000</v>
      </c>
      <c r="K78" s="52">
        <f>ROUND($J$78/O78*T78,2)</f>
        <v>3637462.99</v>
      </c>
      <c r="L78" s="53">
        <v>25874770.420000002</v>
      </c>
      <c r="M78" s="53">
        <f>IF(V78="Да",ROUND($L$78/O78*T78,2),L78)</f>
        <v>3473777.21</v>
      </c>
      <c r="N78" s="51">
        <v>3</v>
      </c>
      <c r="O78" s="51">
        <v>79.7</v>
      </c>
      <c r="P78" s="51">
        <v>39.1</v>
      </c>
      <c r="Q78" s="51">
        <v>10.7</v>
      </c>
      <c r="R78" s="51">
        <f>O78-SUM($Q$78:$Q$80)</f>
        <v>40.6</v>
      </c>
      <c r="S78" s="51">
        <f>R78/SUM($W$78:$W$80)</f>
        <v>20.3</v>
      </c>
      <c r="T78" s="51">
        <f>ROUND(Q78+S78*W78,2)</f>
        <v>10.7</v>
      </c>
      <c r="U78" s="85" t="s">
        <v>196</v>
      </c>
      <c r="V78" s="58" t="s">
        <v>104</v>
      </c>
      <c r="W78" s="49">
        <v>0</v>
      </c>
      <c r="X78" s="49" t="s">
        <v>197</v>
      </c>
      <c r="Y78" s="59"/>
      <c r="Z78" s="59">
        <v>19.3</v>
      </c>
      <c r="AA78" s="59" t="s">
        <v>145</v>
      </c>
      <c r="AB78" s="59">
        <f t="shared" si="22"/>
        <v>1.2</v>
      </c>
      <c r="AC78" s="60">
        <f t="shared" si="23"/>
        <v>23.16</v>
      </c>
      <c r="AD78" s="53">
        <f t="shared" si="24"/>
        <v>247.81</v>
      </c>
      <c r="AE78" s="53">
        <f>ROUND(22578.33/O78*T78,2)</f>
        <v>3031.22</v>
      </c>
      <c r="AF78" s="53">
        <f t="shared" si="25"/>
        <v>3473777.21</v>
      </c>
      <c r="AG78" s="53">
        <f t="shared" si="26"/>
        <v>3470745.9899999998</v>
      </c>
      <c r="AH78" s="53">
        <f t="shared" si="27"/>
        <v>3467714.7699999996</v>
      </c>
      <c r="AI78" s="53">
        <f t="shared" si="28"/>
        <v>3464683.5499999993</v>
      </c>
      <c r="AJ78" s="53">
        <f t="shared" si="29"/>
        <v>3461652.3299999991</v>
      </c>
      <c r="AK78" s="53">
        <f t="shared" si="33"/>
        <v>3458621.1099999989</v>
      </c>
      <c r="AL78" s="53">
        <f t="shared" si="33"/>
        <v>3455589.8899999987</v>
      </c>
      <c r="AM78" s="53">
        <f t="shared" si="33"/>
        <v>3452558.6699999985</v>
      </c>
      <c r="AN78" s="53">
        <f t="shared" si="33"/>
        <v>3449527.4499999983</v>
      </c>
      <c r="AO78" s="53">
        <f t="shared" si="33"/>
        <v>3446496.2299999981</v>
      </c>
      <c r="AP78" s="53">
        <f t="shared" si="33"/>
        <v>3443465.0099999979</v>
      </c>
      <c r="AQ78" s="53">
        <f t="shared" si="33"/>
        <v>3440433.7899999977</v>
      </c>
      <c r="AR78" s="53">
        <f t="shared" si="33"/>
        <v>3437402.5699999975</v>
      </c>
      <c r="AS78" s="53">
        <f t="shared" si="34"/>
        <v>51833.85</v>
      </c>
      <c r="AT78" s="53">
        <f t="shared" si="30"/>
        <v>52081.659999999996</v>
      </c>
      <c r="AU78" s="53">
        <f t="shared" si="31"/>
        <v>3031.22</v>
      </c>
      <c r="AV78" s="61">
        <f>ROUNDDOWN((AT78)/12,2)</f>
        <v>4340.13</v>
      </c>
      <c r="AW78" s="53">
        <f t="shared" si="32"/>
        <v>3031.22</v>
      </c>
      <c r="AX78" s="53"/>
      <c r="AY78" s="53"/>
      <c r="AZ78" s="62"/>
      <c r="BA78" s="81"/>
      <c r="BB78" s="63"/>
      <c r="BC78" s="63"/>
      <c r="BD78" s="63"/>
    </row>
    <row r="79" spans="1:56" s="104" customFormat="1" ht="36" x14ac:dyDescent="0.25">
      <c r="A79" s="89"/>
      <c r="B79" s="90">
        <v>109</v>
      </c>
      <c r="C79" s="90" t="s">
        <v>58</v>
      </c>
      <c r="D79" s="90" t="s">
        <v>140</v>
      </c>
      <c r="E79" s="91" t="s">
        <v>141</v>
      </c>
      <c r="F79" s="91">
        <v>5</v>
      </c>
      <c r="G79" s="92">
        <v>437</v>
      </c>
      <c r="H79" s="90" t="s">
        <v>195</v>
      </c>
      <c r="I79" s="89"/>
      <c r="J79" s="93"/>
      <c r="K79" s="93">
        <f>ROUNDDOWN($J$78/O79*T79,2)</f>
        <v>12612138.01</v>
      </c>
      <c r="L79" s="94"/>
      <c r="M79" s="94">
        <f>IF(V79="Да",ROUND($L$78/O79*T79,2),L79)</f>
        <v>12044592</v>
      </c>
      <c r="N79" s="89">
        <v>3</v>
      </c>
      <c r="O79" s="89">
        <v>79.7</v>
      </c>
      <c r="P79" s="89">
        <v>39.1</v>
      </c>
      <c r="Q79" s="89">
        <v>16.8</v>
      </c>
      <c r="R79" s="89">
        <f>O79-SUM($Q$78:$Q$80)</f>
        <v>40.6</v>
      </c>
      <c r="S79" s="89">
        <f>R79/SUM($W$78:$W$80)</f>
        <v>20.3</v>
      </c>
      <c r="T79" s="89">
        <f>ROUNDUP(Q79+S79*W79,2)</f>
        <v>37.1</v>
      </c>
      <c r="U79" s="97" t="s">
        <v>198</v>
      </c>
      <c r="V79" s="98" t="s">
        <v>104</v>
      </c>
      <c r="W79" s="90">
        <v>1</v>
      </c>
      <c r="X79" s="90" t="s">
        <v>199</v>
      </c>
      <c r="Y79" s="99"/>
      <c r="Z79" s="99">
        <v>19.3</v>
      </c>
      <c r="AA79" s="99" t="s">
        <v>145</v>
      </c>
      <c r="AB79" s="99">
        <f t="shared" si="22"/>
        <v>1.2</v>
      </c>
      <c r="AC79" s="100">
        <f t="shared" si="23"/>
        <v>23.16</v>
      </c>
      <c r="AD79" s="94">
        <f>IF(V79="Нет",ROUND(AC79*O79,2),ROUND(AC79*T79,2))</f>
        <v>859.24</v>
      </c>
      <c r="AE79" s="94">
        <f>ROUNDDOWN(22578.33/O79*T79,2)</f>
        <v>10510.11</v>
      </c>
      <c r="AF79" s="94">
        <f t="shared" si="25"/>
        <v>12044592</v>
      </c>
      <c r="AG79" s="94">
        <f t="shared" si="26"/>
        <v>12034081.890000001</v>
      </c>
      <c r="AH79" s="94">
        <f t="shared" si="27"/>
        <v>12023571.780000001</v>
      </c>
      <c r="AI79" s="94">
        <f t="shared" si="28"/>
        <v>12013061.670000002</v>
      </c>
      <c r="AJ79" s="94">
        <f t="shared" si="29"/>
        <v>12002551.560000002</v>
      </c>
      <c r="AK79" s="94">
        <f t="shared" si="33"/>
        <v>11992041.450000003</v>
      </c>
      <c r="AL79" s="94">
        <f t="shared" si="33"/>
        <v>11981531.340000004</v>
      </c>
      <c r="AM79" s="94">
        <f t="shared" si="33"/>
        <v>11971021.230000004</v>
      </c>
      <c r="AN79" s="94">
        <f t="shared" si="33"/>
        <v>11960511.120000005</v>
      </c>
      <c r="AO79" s="94">
        <f t="shared" si="33"/>
        <v>11950001.010000005</v>
      </c>
      <c r="AP79" s="94">
        <f t="shared" si="33"/>
        <v>11939490.900000006</v>
      </c>
      <c r="AQ79" s="94">
        <f t="shared" si="33"/>
        <v>11928980.790000007</v>
      </c>
      <c r="AR79" s="94">
        <f t="shared" si="33"/>
        <v>11918470.680000007</v>
      </c>
      <c r="AS79" s="94">
        <f t="shared" si="34"/>
        <v>179722.97</v>
      </c>
      <c r="AT79" s="94">
        <f>AS79+AD79</f>
        <v>180582.21</v>
      </c>
      <c r="AU79" s="94">
        <f t="shared" si="31"/>
        <v>10510.11</v>
      </c>
      <c r="AV79" s="101">
        <f t="shared" ref="AV79:AV139" si="35">ROUND((AT79)/12,2)</f>
        <v>15048.52</v>
      </c>
      <c r="AW79" s="94">
        <f t="shared" si="32"/>
        <v>10510.11</v>
      </c>
      <c r="AX79" s="94"/>
      <c r="AY79" s="94"/>
      <c r="AZ79" s="102"/>
      <c r="BA79" s="115"/>
      <c r="BB79" s="103"/>
      <c r="BC79" s="103"/>
      <c r="BD79" s="103"/>
    </row>
    <row r="80" spans="1:56" s="104" customFormat="1" ht="36" x14ac:dyDescent="0.25">
      <c r="A80" s="89"/>
      <c r="B80" s="90">
        <v>110</v>
      </c>
      <c r="C80" s="90" t="s">
        <v>58</v>
      </c>
      <c r="D80" s="90" t="s">
        <v>140</v>
      </c>
      <c r="E80" s="91" t="s">
        <v>141</v>
      </c>
      <c r="F80" s="91">
        <v>5</v>
      </c>
      <c r="G80" s="92">
        <v>437</v>
      </c>
      <c r="H80" s="90" t="s">
        <v>195</v>
      </c>
      <c r="I80" s="89"/>
      <c r="J80" s="93"/>
      <c r="K80" s="93">
        <f>ROUND($J$78/O80*T80,2)</f>
        <v>10844399</v>
      </c>
      <c r="L80" s="94"/>
      <c r="M80" s="94">
        <f>IF(V80="Да",ROUND($L$78/O80*T80,2),L80)</f>
        <v>10356401.210000001</v>
      </c>
      <c r="N80" s="89">
        <v>3</v>
      </c>
      <c r="O80" s="89">
        <v>79.7</v>
      </c>
      <c r="P80" s="89">
        <v>39.1</v>
      </c>
      <c r="Q80" s="89">
        <v>11.6</v>
      </c>
      <c r="R80" s="89">
        <f>O80-SUM($Q$78:$Q$80)</f>
        <v>40.6</v>
      </c>
      <c r="S80" s="89">
        <f>R80/SUM($W$78:$W$80)</f>
        <v>20.3</v>
      </c>
      <c r="T80" s="89">
        <f>ROUND(Q80+S80*W80,2)</f>
        <v>31.9</v>
      </c>
      <c r="U80" s="97" t="s">
        <v>200</v>
      </c>
      <c r="V80" s="98" t="s">
        <v>104</v>
      </c>
      <c r="W80" s="90">
        <v>1</v>
      </c>
      <c r="X80" s="90" t="s">
        <v>201</v>
      </c>
      <c r="Y80" s="99"/>
      <c r="Z80" s="99">
        <v>19.3</v>
      </c>
      <c r="AA80" s="99" t="s">
        <v>145</v>
      </c>
      <c r="AB80" s="99">
        <f t="shared" si="22"/>
        <v>1.2</v>
      </c>
      <c r="AC80" s="100">
        <f t="shared" si="23"/>
        <v>23.16</v>
      </c>
      <c r="AD80" s="94">
        <f t="shared" si="24"/>
        <v>738.8</v>
      </c>
      <c r="AE80" s="94">
        <f>ROUND(22578.33/O80*T80,2)</f>
        <v>9037</v>
      </c>
      <c r="AF80" s="94">
        <f t="shared" si="25"/>
        <v>10356401.210000001</v>
      </c>
      <c r="AG80" s="94">
        <f t="shared" si="26"/>
        <v>10347364.210000001</v>
      </c>
      <c r="AH80" s="94">
        <f t="shared" si="27"/>
        <v>10338327.210000001</v>
      </c>
      <c r="AI80" s="94">
        <f t="shared" si="28"/>
        <v>10329290.210000001</v>
      </c>
      <c r="AJ80" s="94">
        <f t="shared" si="29"/>
        <v>10320253.210000001</v>
      </c>
      <c r="AK80" s="94">
        <f t="shared" si="33"/>
        <v>10311216.210000001</v>
      </c>
      <c r="AL80" s="94">
        <f t="shared" si="33"/>
        <v>10302179.210000001</v>
      </c>
      <c r="AM80" s="94">
        <f t="shared" si="33"/>
        <v>10293142.210000001</v>
      </c>
      <c r="AN80" s="94">
        <f t="shared" si="33"/>
        <v>10284105.210000001</v>
      </c>
      <c r="AO80" s="94">
        <f t="shared" si="33"/>
        <v>10275068.210000001</v>
      </c>
      <c r="AP80" s="94">
        <f t="shared" si="33"/>
        <v>10266031.210000001</v>
      </c>
      <c r="AQ80" s="94">
        <f t="shared" si="33"/>
        <v>10256994.210000001</v>
      </c>
      <c r="AR80" s="94">
        <f t="shared" si="33"/>
        <v>10247957.210000001</v>
      </c>
      <c r="AS80" s="94">
        <f t="shared" si="34"/>
        <v>154532.69</v>
      </c>
      <c r="AT80" s="94">
        <f t="shared" si="30"/>
        <v>155271.49</v>
      </c>
      <c r="AU80" s="94">
        <f t="shared" si="31"/>
        <v>9037</v>
      </c>
      <c r="AV80" s="101">
        <f t="shared" si="35"/>
        <v>12939.29</v>
      </c>
      <c r="AW80" s="94">
        <f t="shared" si="32"/>
        <v>9037</v>
      </c>
      <c r="AX80" s="94"/>
      <c r="AY80" s="94"/>
      <c r="AZ80" s="102"/>
      <c r="BA80" s="115"/>
      <c r="BB80" s="103"/>
      <c r="BC80" s="103"/>
      <c r="BD80" s="103"/>
    </row>
    <row r="81" spans="1:56" s="69" customFormat="1" ht="36" x14ac:dyDescent="0.25">
      <c r="A81" s="31"/>
      <c r="B81" s="31">
        <v>111</v>
      </c>
      <c r="C81" s="31" t="s">
        <v>58</v>
      </c>
      <c r="D81" s="31" t="s">
        <v>140</v>
      </c>
      <c r="E81" s="35" t="s">
        <v>141</v>
      </c>
      <c r="F81" s="35">
        <v>5</v>
      </c>
      <c r="G81" s="82">
        <v>514</v>
      </c>
      <c r="H81" s="31" t="s">
        <v>202</v>
      </c>
      <c r="I81" s="36">
        <v>1</v>
      </c>
      <c r="J81" s="37">
        <v>48342000</v>
      </c>
      <c r="K81" s="37">
        <f>ROUND($J$81/O81*T81,2)</f>
        <v>18884656.120000001</v>
      </c>
      <c r="L81" s="38">
        <v>46166610</v>
      </c>
      <c r="M81" s="38">
        <f>IF(V81="Да",ROUND($L$81/O81*T81,2),L81)</f>
        <v>18034846.59</v>
      </c>
      <c r="N81" s="36">
        <v>3</v>
      </c>
      <c r="O81" s="36">
        <v>142.19999999999999</v>
      </c>
      <c r="P81" s="36">
        <f>65.7-6.4</f>
        <v>59.300000000000004</v>
      </c>
      <c r="Q81" s="36">
        <v>14.1</v>
      </c>
      <c r="R81" s="36">
        <f>O81-SUM($Q$81:$Q$83)</f>
        <v>82.899999999999991</v>
      </c>
      <c r="S81" s="36">
        <f>R81/SUM($W$81:$W$83)</f>
        <v>41.449999999999996</v>
      </c>
      <c r="T81" s="36">
        <f>ROUND(Q81+S81*W81,2)</f>
        <v>55.55</v>
      </c>
      <c r="U81" s="116" t="s">
        <v>203</v>
      </c>
      <c r="V81" s="48" t="s">
        <v>104</v>
      </c>
      <c r="W81" s="31">
        <v>1</v>
      </c>
      <c r="X81" s="31" t="s">
        <v>204</v>
      </c>
      <c r="Y81" s="42"/>
      <c r="Z81" s="42">
        <v>19.3</v>
      </c>
      <c r="AA81" s="42" t="s">
        <v>145</v>
      </c>
      <c r="AB81" s="42">
        <f t="shared" si="22"/>
        <v>1.2</v>
      </c>
      <c r="AC81" s="43">
        <f t="shared" si="23"/>
        <v>23.16</v>
      </c>
      <c r="AD81" s="38">
        <f t="shared" si="24"/>
        <v>1286.54</v>
      </c>
      <c r="AE81" s="38">
        <f>ROUND(40285/O81*T81,2)</f>
        <v>15737.21</v>
      </c>
      <c r="AF81" s="38">
        <f t="shared" si="25"/>
        <v>18034846.59</v>
      </c>
      <c r="AG81" s="38">
        <f t="shared" si="26"/>
        <v>18019109.379999999</v>
      </c>
      <c r="AH81" s="38">
        <f t="shared" si="27"/>
        <v>18003372.169999998</v>
      </c>
      <c r="AI81" s="38">
        <f t="shared" si="28"/>
        <v>17987634.959999997</v>
      </c>
      <c r="AJ81" s="38">
        <f t="shared" si="29"/>
        <v>17971897.749999996</v>
      </c>
      <c r="AK81" s="38">
        <f t="shared" si="33"/>
        <v>17956160.539999995</v>
      </c>
      <c r="AL81" s="38">
        <f t="shared" si="33"/>
        <v>17940423.329999994</v>
      </c>
      <c r="AM81" s="38">
        <f t="shared" si="33"/>
        <v>17924686.119999994</v>
      </c>
      <c r="AN81" s="38">
        <f t="shared" si="33"/>
        <v>17908948.909999993</v>
      </c>
      <c r="AO81" s="38">
        <f t="shared" si="33"/>
        <v>17893211.699999992</v>
      </c>
      <c r="AP81" s="38">
        <f t="shared" si="33"/>
        <v>17877474.489999991</v>
      </c>
      <c r="AQ81" s="38">
        <f t="shared" si="33"/>
        <v>17861737.27999999</v>
      </c>
      <c r="AR81" s="38">
        <f t="shared" si="33"/>
        <v>17846000.069999989</v>
      </c>
      <c r="AS81" s="38">
        <f t="shared" si="34"/>
        <v>269106.34999999998</v>
      </c>
      <c r="AT81" s="38">
        <f t="shared" si="30"/>
        <v>270392.88999999996</v>
      </c>
      <c r="AU81" s="38">
        <f t="shared" si="31"/>
        <v>15737.21</v>
      </c>
      <c r="AV81" s="68">
        <f t="shared" si="35"/>
        <v>22532.74</v>
      </c>
      <c r="AW81" s="38">
        <f t="shared" si="32"/>
        <v>15737.21</v>
      </c>
      <c r="AX81" s="38"/>
      <c r="AY81" s="38"/>
      <c r="AZ81" s="44"/>
      <c r="BA81" s="84"/>
      <c r="BB81" s="45"/>
      <c r="BC81" s="45"/>
      <c r="BD81" s="45"/>
    </row>
    <row r="82" spans="1:56" s="21" customFormat="1" ht="36" x14ac:dyDescent="0.25">
      <c r="A82" s="36"/>
      <c r="B82" s="31">
        <v>112</v>
      </c>
      <c r="C82" s="31" t="s">
        <v>58</v>
      </c>
      <c r="D82" s="31" t="s">
        <v>140</v>
      </c>
      <c r="E82" s="35" t="s">
        <v>141</v>
      </c>
      <c r="F82" s="35">
        <v>5</v>
      </c>
      <c r="G82" s="82">
        <v>514</v>
      </c>
      <c r="H82" s="31" t="s">
        <v>202</v>
      </c>
      <c r="I82" s="36"/>
      <c r="J82" s="37"/>
      <c r="K82" s="37">
        <f>ROUND($J$81/O82*T82,2)</f>
        <v>19122626.579999998</v>
      </c>
      <c r="L82" s="38"/>
      <c r="M82" s="38">
        <f>IF(V82="Да",ROUND($L$81/O82*T82,2),L82)</f>
        <v>18262108.390000001</v>
      </c>
      <c r="N82" s="36">
        <v>3</v>
      </c>
      <c r="O82" s="36">
        <v>142.19999999999999</v>
      </c>
      <c r="P82" s="36">
        <f t="shared" ref="P82:P83" si="36">65.7-6.4</f>
        <v>59.300000000000004</v>
      </c>
      <c r="Q82" s="36">
        <v>14.8</v>
      </c>
      <c r="R82" s="36">
        <f>O82-SUM($Q$81:$Q$83)</f>
        <v>82.899999999999991</v>
      </c>
      <c r="S82" s="36">
        <f>R82/SUM($W$81:$W$83)</f>
        <v>41.449999999999996</v>
      </c>
      <c r="T82" s="36">
        <f>ROUNDDOWN(Q82+S82*W82,2)</f>
        <v>56.25</v>
      </c>
      <c r="U82" s="117" t="s">
        <v>205</v>
      </c>
      <c r="V82" s="48" t="s">
        <v>104</v>
      </c>
      <c r="W82" s="31">
        <v>1</v>
      </c>
      <c r="X82" s="7" t="s">
        <v>206</v>
      </c>
      <c r="Y82" s="15"/>
      <c r="Z82" s="42">
        <v>19.3</v>
      </c>
      <c r="AA82" s="42" t="s">
        <v>145</v>
      </c>
      <c r="AB82" s="42">
        <f t="shared" si="22"/>
        <v>1.2</v>
      </c>
      <c r="AC82" s="43">
        <f t="shared" si="23"/>
        <v>23.16</v>
      </c>
      <c r="AD82" s="38">
        <f t="shared" si="24"/>
        <v>1302.75</v>
      </c>
      <c r="AE82" s="38">
        <f>ROUND(40285/O82*T82,2)</f>
        <v>15935.52</v>
      </c>
      <c r="AF82" s="38">
        <f t="shared" si="25"/>
        <v>18262108.390000001</v>
      </c>
      <c r="AG82" s="38">
        <f t="shared" si="26"/>
        <v>18246172.870000001</v>
      </c>
      <c r="AH82" s="38">
        <f t="shared" si="27"/>
        <v>18230237.350000001</v>
      </c>
      <c r="AI82" s="38">
        <f t="shared" si="28"/>
        <v>18214301.830000002</v>
      </c>
      <c r="AJ82" s="38">
        <f t="shared" si="29"/>
        <v>18198366.310000002</v>
      </c>
      <c r="AK82" s="38">
        <f t="shared" si="33"/>
        <v>18182430.790000003</v>
      </c>
      <c r="AL82" s="38">
        <f t="shared" si="33"/>
        <v>18166495.270000003</v>
      </c>
      <c r="AM82" s="38">
        <f t="shared" si="33"/>
        <v>18150559.750000004</v>
      </c>
      <c r="AN82" s="38">
        <f t="shared" si="33"/>
        <v>18134624.230000004</v>
      </c>
      <c r="AO82" s="38">
        <f t="shared" si="33"/>
        <v>18118688.710000005</v>
      </c>
      <c r="AP82" s="38">
        <f t="shared" si="33"/>
        <v>18102753.190000005</v>
      </c>
      <c r="AQ82" s="38">
        <f t="shared" si="33"/>
        <v>18086817.670000006</v>
      </c>
      <c r="AR82" s="17">
        <f t="shared" si="33"/>
        <v>18070882.150000006</v>
      </c>
      <c r="AS82" s="38">
        <f t="shared" si="34"/>
        <v>272497.43</v>
      </c>
      <c r="AT82" s="38">
        <f t="shared" si="30"/>
        <v>273800.18</v>
      </c>
      <c r="AU82" s="38">
        <f t="shared" si="31"/>
        <v>15935.52</v>
      </c>
      <c r="AV82" s="18">
        <f t="shared" si="35"/>
        <v>22816.68</v>
      </c>
      <c r="AW82" s="17">
        <f t="shared" si="32"/>
        <v>15935.52</v>
      </c>
      <c r="AX82" s="38"/>
      <c r="AY82" s="38"/>
      <c r="AZ82" s="44"/>
      <c r="BA82" s="118"/>
      <c r="BB82" s="45"/>
      <c r="BC82" s="45"/>
      <c r="BD82" s="45"/>
    </row>
    <row r="83" spans="1:56" s="64" customFormat="1" ht="36" x14ac:dyDescent="0.25">
      <c r="A83" s="51"/>
      <c r="B83" s="49">
        <v>113</v>
      </c>
      <c r="C83" s="49" t="s">
        <v>58</v>
      </c>
      <c r="D83" s="49" t="s">
        <v>140</v>
      </c>
      <c r="E83" s="50" t="s">
        <v>141</v>
      </c>
      <c r="F83" s="50">
        <v>5</v>
      </c>
      <c r="G83" s="78">
        <v>514</v>
      </c>
      <c r="H83" s="49" t="s">
        <v>202</v>
      </c>
      <c r="I83" s="51"/>
      <c r="J83" s="52"/>
      <c r="K83" s="52">
        <f>ROUNDUP($J$81/O83*T83,2)</f>
        <v>10334717.299999999</v>
      </c>
      <c r="L83" s="53"/>
      <c r="M83" s="53">
        <f>IF(V83="Да",ROUND($L$81/O83*T83,2),L83)</f>
        <v>9869655.0199999996</v>
      </c>
      <c r="N83" s="51">
        <v>3</v>
      </c>
      <c r="O83" s="51">
        <v>142.19999999999999</v>
      </c>
      <c r="P83" s="51">
        <f t="shared" si="36"/>
        <v>59.300000000000004</v>
      </c>
      <c r="Q83" s="51">
        <v>30.4</v>
      </c>
      <c r="R83" s="51">
        <f>O83-SUM($Q$81:$Q$83)</f>
        <v>82.899999999999991</v>
      </c>
      <c r="S83" s="51">
        <f>R83/SUM($W$81:$W$83)</f>
        <v>41.449999999999996</v>
      </c>
      <c r="T83" s="51">
        <f>ROUNDUP(Q83+S83*W83,2)</f>
        <v>30.4</v>
      </c>
      <c r="U83" s="87" t="s">
        <v>207</v>
      </c>
      <c r="V83" s="58" t="s">
        <v>104</v>
      </c>
      <c r="W83" s="49"/>
      <c r="X83" s="49" t="s">
        <v>208</v>
      </c>
      <c r="Y83" s="59"/>
      <c r="Z83" s="59">
        <v>19.3</v>
      </c>
      <c r="AA83" s="59" t="s">
        <v>145</v>
      </c>
      <c r="AB83" s="59">
        <f t="shared" si="22"/>
        <v>1.2</v>
      </c>
      <c r="AC83" s="60">
        <f t="shared" si="23"/>
        <v>23.16</v>
      </c>
      <c r="AD83" s="53">
        <f t="shared" si="24"/>
        <v>704.06</v>
      </c>
      <c r="AE83" s="53">
        <f>ROUND(40285/O83*T83,2)</f>
        <v>8612.26</v>
      </c>
      <c r="AF83" s="53">
        <f t="shared" si="25"/>
        <v>9869655.0199999996</v>
      </c>
      <c r="AG83" s="53">
        <f t="shared" si="26"/>
        <v>9861042.7599999998</v>
      </c>
      <c r="AH83" s="53">
        <f t="shared" si="27"/>
        <v>9852430.5</v>
      </c>
      <c r="AI83" s="53">
        <f t="shared" si="28"/>
        <v>9843818.2400000002</v>
      </c>
      <c r="AJ83" s="53">
        <f t="shared" si="29"/>
        <v>9835205.9800000004</v>
      </c>
      <c r="AK83" s="53">
        <f t="shared" ref="AK83:AR99" si="37">AJ83-$AE83</f>
        <v>9826593.7200000007</v>
      </c>
      <c r="AL83" s="53">
        <f t="shared" si="37"/>
        <v>9817981.4600000009</v>
      </c>
      <c r="AM83" s="53">
        <f t="shared" si="37"/>
        <v>9809369.2000000011</v>
      </c>
      <c r="AN83" s="53">
        <f t="shared" si="37"/>
        <v>9800756.9400000013</v>
      </c>
      <c r="AO83" s="53">
        <f t="shared" si="37"/>
        <v>9792144.6800000016</v>
      </c>
      <c r="AP83" s="53">
        <f t="shared" si="37"/>
        <v>9783532.4200000018</v>
      </c>
      <c r="AQ83" s="53">
        <f t="shared" si="37"/>
        <v>9774920.160000002</v>
      </c>
      <c r="AR83" s="53">
        <f t="shared" si="37"/>
        <v>9766307.9000000022</v>
      </c>
      <c r="AS83" s="53">
        <f t="shared" si="34"/>
        <v>147269.72</v>
      </c>
      <c r="AT83" s="53">
        <f t="shared" si="30"/>
        <v>147973.78</v>
      </c>
      <c r="AU83" s="53">
        <f t="shared" si="31"/>
        <v>8612.26</v>
      </c>
      <c r="AV83" s="61">
        <f t="shared" si="35"/>
        <v>12331.15</v>
      </c>
      <c r="AW83" s="53">
        <f t="shared" si="32"/>
        <v>8612.26</v>
      </c>
      <c r="AX83" s="53"/>
      <c r="AY83" s="53"/>
      <c r="AZ83" s="62"/>
      <c r="BA83" s="81"/>
      <c r="BB83" s="63"/>
      <c r="BC83" s="63"/>
      <c r="BD83" s="63"/>
    </row>
    <row r="84" spans="1:56" s="69" customFormat="1" ht="60" x14ac:dyDescent="0.25">
      <c r="A84" s="31"/>
      <c r="B84" s="31">
        <v>114</v>
      </c>
      <c r="C84" s="31" t="s">
        <v>58</v>
      </c>
      <c r="D84" s="31" t="s">
        <v>140</v>
      </c>
      <c r="E84" s="35" t="s">
        <v>141</v>
      </c>
      <c r="F84" s="35">
        <v>5</v>
      </c>
      <c r="G84" s="31">
        <v>516</v>
      </c>
      <c r="H84" s="119" t="s">
        <v>209</v>
      </c>
      <c r="I84" s="120">
        <v>1</v>
      </c>
      <c r="J84" s="121">
        <v>48546000</v>
      </c>
      <c r="K84" s="121">
        <f>ROUND($J$84/O84*T84,2)</f>
        <v>7195902.6699999999</v>
      </c>
      <c r="L84" s="122">
        <v>46361430.229999997</v>
      </c>
      <c r="M84" s="122">
        <f>IF(V84="Да",ROUND($L$84/O84*T84,2),L84)</f>
        <v>6872087.0899999999</v>
      </c>
      <c r="N84" s="120">
        <v>3</v>
      </c>
      <c r="O84" s="120">
        <v>142.82</v>
      </c>
      <c r="P84" s="120">
        <f>64.8</f>
        <v>64.8</v>
      </c>
      <c r="Q84" s="120">
        <f>7.15</f>
        <v>7.15</v>
      </c>
      <c r="R84" s="120">
        <f>O84-SUM($Q$84:$Q$87)</f>
        <v>84.11999999999999</v>
      </c>
      <c r="S84" s="120">
        <f>R84/SUM($W$84:$W$87)</f>
        <v>28.039999999999996</v>
      </c>
      <c r="T84" s="120">
        <f>ROUND(Q84+S84*W84,2)</f>
        <v>21.17</v>
      </c>
      <c r="U84" s="123" t="s">
        <v>210</v>
      </c>
      <c r="V84" s="48" t="s">
        <v>104</v>
      </c>
      <c r="W84" s="31">
        <v>0.5</v>
      </c>
      <c r="X84" s="31" t="s">
        <v>211</v>
      </c>
      <c r="Y84" s="42"/>
      <c r="Z84" s="42">
        <v>19.3</v>
      </c>
      <c r="AA84" s="42" t="s">
        <v>145</v>
      </c>
      <c r="AB84" s="42">
        <f t="shared" si="22"/>
        <v>1.2</v>
      </c>
      <c r="AC84" s="43">
        <f t="shared" si="23"/>
        <v>23.16</v>
      </c>
      <c r="AD84" s="38">
        <f t="shared" si="24"/>
        <v>490.3</v>
      </c>
      <c r="AE84" s="38">
        <f>ROUNDDOWN(40455/O84*T84,2)</f>
        <v>5996.58</v>
      </c>
      <c r="AF84" s="38">
        <f t="shared" si="25"/>
        <v>6872087.0899999999</v>
      </c>
      <c r="AG84" s="38">
        <f t="shared" si="26"/>
        <v>6866090.5099999998</v>
      </c>
      <c r="AH84" s="38">
        <f t="shared" si="27"/>
        <v>6860093.9299999997</v>
      </c>
      <c r="AI84" s="38">
        <f t="shared" si="28"/>
        <v>6854097.3499999996</v>
      </c>
      <c r="AJ84" s="38">
        <f t="shared" si="29"/>
        <v>6848100.7699999996</v>
      </c>
      <c r="AK84" s="38">
        <f t="shared" si="37"/>
        <v>6842104.1899999995</v>
      </c>
      <c r="AL84" s="38">
        <f t="shared" si="37"/>
        <v>6836107.6099999994</v>
      </c>
      <c r="AM84" s="38">
        <f t="shared" si="37"/>
        <v>6830111.0299999993</v>
      </c>
      <c r="AN84" s="38">
        <f t="shared" si="37"/>
        <v>6824114.4499999993</v>
      </c>
      <c r="AO84" s="38">
        <f t="shared" si="37"/>
        <v>6818117.8699999992</v>
      </c>
      <c r="AP84" s="38">
        <f t="shared" si="37"/>
        <v>6812121.2899999991</v>
      </c>
      <c r="AQ84" s="38">
        <f t="shared" si="37"/>
        <v>6806124.709999999</v>
      </c>
      <c r="AR84" s="38">
        <f t="shared" si="37"/>
        <v>6800128.129999999</v>
      </c>
      <c r="AS84" s="38">
        <f t="shared" si="34"/>
        <v>102541.61</v>
      </c>
      <c r="AT84" s="38">
        <f t="shared" si="30"/>
        <v>103031.91</v>
      </c>
      <c r="AU84" s="38">
        <f t="shared" si="31"/>
        <v>5996.58</v>
      </c>
      <c r="AV84" s="68">
        <f t="shared" si="35"/>
        <v>8585.99</v>
      </c>
      <c r="AW84" s="38">
        <f t="shared" si="32"/>
        <v>5996.58</v>
      </c>
      <c r="AX84" s="38"/>
      <c r="AY84" s="38"/>
      <c r="AZ84" s="207"/>
      <c r="BA84" s="208"/>
      <c r="BB84" s="45"/>
      <c r="BC84" s="45"/>
      <c r="BD84" s="45"/>
    </row>
    <row r="85" spans="1:56" s="69" customFormat="1" ht="60" x14ac:dyDescent="0.25">
      <c r="A85" s="31"/>
      <c r="B85" s="31"/>
      <c r="C85" s="31" t="s">
        <v>58</v>
      </c>
      <c r="D85" s="31" t="s">
        <v>140</v>
      </c>
      <c r="E85" s="35" t="s">
        <v>212</v>
      </c>
      <c r="F85" s="35">
        <v>5</v>
      </c>
      <c r="G85" s="31">
        <v>516</v>
      </c>
      <c r="H85" s="119" t="s">
        <v>209</v>
      </c>
      <c r="I85" s="120"/>
      <c r="J85" s="121"/>
      <c r="K85" s="121">
        <f>ROUND($J$84/O85*T85,2)</f>
        <v>7195902.6699999999</v>
      </c>
      <c r="L85" s="122"/>
      <c r="M85" s="122">
        <f>IF(V85="Да",ROUND($L$84/O85*T85,2),L85)</f>
        <v>6872087.0899999999</v>
      </c>
      <c r="N85" s="120">
        <v>3</v>
      </c>
      <c r="O85" s="120">
        <v>142.82</v>
      </c>
      <c r="P85" s="120">
        <f>64.8</f>
        <v>64.8</v>
      </c>
      <c r="Q85" s="120">
        <f>7.15</f>
        <v>7.15</v>
      </c>
      <c r="R85" s="120">
        <f>O85-SUM($Q$84:$Q$87)</f>
        <v>84.11999999999999</v>
      </c>
      <c r="S85" s="120">
        <f>R85/SUM($W$84:$W$87)</f>
        <v>28.039999999999996</v>
      </c>
      <c r="T85" s="120">
        <f>ROUND(Q85+S85*W85,2)</f>
        <v>21.17</v>
      </c>
      <c r="U85" s="123" t="s">
        <v>213</v>
      </c>
      <c r="V85" s="48" t="s">
        <v>104</v>
      </c>
      <c r="W85" s="31">
        <v>0.5</v>
      </c>
      <c r="X85" s="31" t="s">
        <v>211</v>
      </c>
      <c r="Y85" s="42"/>
      <c r="Z85" s="42">
        <v>19.3</v>
      </c>
      <c r="AA85" s="42" t="s">
        <v>145</v>
      </c>
      <c r="AB85" s="42">
        <f t="shared" si="22"/>
        <v>1.2</v>
      </c>
      <c r="AC85" s="43">
        <f t="shared" si="23"/>
        <v>23.16</v>
      </c>
      <c r="AD85" s="38">
        <f t="shared" si="24"/>
        <v>490.3</v>
      </c>
      <c r="AE85" s="38">
        <f>ROUNDDOWN(40455/O85*T85,2)</f>
        <v>5996.58</v>
      </c>
      <c r="AF85" s="38">
        <f t="shared" si="25"/>
        <v>6872087.0899999999</v>
      </c>
      <c r="AG85" s="38">
        <f t="shared" si="26"/>
        <v>6866090.5099999998</v>
      </c>
      <c r="AH85" s="38">
        <f t="shared" si="27"/>
        <v>6860093.9299999997</v>
      </c>
      <c r="AI85" s="38">
        <f t="shared" si="28"/>
        <v>6854097.3499999996</v>
      </c>
      <c r="AJ85" s="38">
        <f t="shared" si="29"/>
        <v>6848100.7699999996</v>
      </c>
      <c r="AK85" s="38">
        <f t="shared" si="37"/>
        <v>6842104.1899999995</v>
      </c>
      <c r="AL85" s="38">
        <f t="shared" si="37"/>
        <v>6836107.6099999994</v>
      </c>
      <c r="AM85" s="38">
        <f t="shared" si="37"/>
        <v>6830111.0299999993</v>
      </c>
      <c r="AN85" s="38">
        <f t="shared" si="37"/>
        <v>6824114.4499999993</v>
      </c>
      <c r="AO85" s="38">
        <f t="shared" si="37"/>
        <v>6818117.8699999992</v>
      </c>
      <c r="AP85" s="38">
        <f t="shared" si="37"/>
        <v>6812121.2899999991</v>
      </c>
      <c r="AQ85" s="38">
        <f t="shared" si="37"/>
        <v>6806124.709999999</v>
      </c>
      <c r="AR85" s="38">
        <f t="shared" si="37"/>
        <v>6800128.129999999</v>
      </c>
      <c r="AS85" s="38">
        <f t="shared" si="34"/>
        <v>102541.61</v>
      </c>
      <c r="AT85" s="38">
        <f t="shared" si="30"/>
        <v>103031.91</v>
      </c>
      <c r="AU85" s="38">
        <f t="shared" si="31"/>
        <v>5996.58</v>
      </c>
      <c r="AV85" s="68">
        <f t="shared" si="35"/>
        <v>8585.99</v>
      </c>
      <c r="AW85" s="38">
        <f t="shared" si="32"/>
        <v>5996.58</v>
      </c>
      <c r="AX85" s="38"/>
      <c r="AY85" s="38"/>
      <c r="AZ85" s="207"/>
      <c r="BA85" s="208"/>
      <c r="BB85" s="45"/>
      <c r="BC85" s="45"/>
      <c r="BD85" s="45"/>
    </row>
    <row r="86" spans="1:56" s="69" customFormat="1" ht="36" x14ac:dyDescent="0.25">
      <c r="A86" s="36"/>
      <c r="B86" s="31">
        <v>115</v>
      </c>
      <c r="C86" s="31" t="s">
        <v>58</v>
      </c>
      <c r="D86" s="31" t="s">
        <v>140</v>
      </c>
      <c r="E86" s="35" t="s">
        <v>141</v>
      </c>
      <c r="F86" s="35">
        <v>5</v>
      </c>
      <c r="G86" s="31">
        <v>516</v>
      </c>
      <c r="H86" s="31" t="s">
        <v>209</v>
      </c>
      <c r="I86" s="36"/>
      <c r="J86" s="37"/>
      <c r="K86" s="37">
        <f>ROUND($J$84/O86*T86,2)</f>
        <v>14493778.460000001</v>
      </c>
      <c r="L86" s="38"/>
      <c r="M86" s="38">
        <f>IF(V86="Да",ROUND($L$84/O86*T86,2),L86)</f>
        <v>13841558.5</v>
      </c>
      <c r="N86" s="36">
        <v>3</v>
      </c>
      <c r="O86" s="36">
        <v>142.82</v>
      </c>
      <c r="P86" s="36">
        <f>64.8</f>
        <v>64.8</v>
      </c>
      <c r="Q86" s="36">
        <v>14.6</v>
      </c>
      <c r="R86" s="36">
        <f>O86-SUM($Q$84:$Q$87)</f>
        <v>84.11999999999999</v>
      </c>
      <c r="S86" s="36">
        <f>R86/SUM($W$84:$W$87)</f>
        <v>28.039999999999996</v>
      </c>
      <c r="T86" s="36">
        <f>ROUND(Q86+S86*W86,2)</f>
        <v>42.64</v>
      </c>
      <c r="U86" s="116" t="s">
        <v>214</v>
      </c>
      <c r="V86" s="48" t="s">
        <v>104</v>
      </c>
      <c r="W86" s="31">
        <v>1</v>
      </c>
      <c r="X86" s="31" t="s">
        <v>167</v>
      </c>
      <c r="Y86" s="42"/>
      <c r="Z86" s="42">
        <v>19.3</v>
      </c>
      <c r="AA86" s="42" t="s">
        <v>145</v>
      </c>
      <c r="AB86" s="42">
        <f t="shared" si="22"/>
        <v>1.2</v>
      </c>
      <c r="AC86" s="43">
        <f t="shared" si="23"/>
        <v>23.16</v>
      </c>
      <c r="AD86" s="38">
        <f t="shared" si="24"/>
        <v>987.54</v>
      </c>
      <c r="AE86" s="38">
        <f>ROUNDDOWN(40455/O86*T86,2)</f>
        <v>12078.14</v>
      </c>
      <c r="AF86" s="38">
        <f t="shared" si="25"/>
        <v>13841558.5</v>
      </c>
      <c r="AG86" s="38">
        <f t="shared" si="26"/>
        <v>13829480.359999999</v>
      </c>
      <c r="AH86" s="38">
        <f t="shared" si="27"/>
        <v>13817402.219999999</v>
      </c>
      <c r="AI86" s="38">
        <f t="shared" si="28"/>
        <v>13805324.079999998</v>
      </c>
      <c r="AJ86" s="38">
        <f t="shared" si="29"/>
        <v>13793245.939999998</v>
      </c>
      <c r="AK86" s="38">
        <f t="shared" si="37"/>
        <v>13781167.799999997</v>
      </c>
      <c r="AL86" s="38">
        <f t="shared" si="37"/>
        <v>13769089.659999996</v>
      </c>
      <c r="AM86" s="38">
        <f t="shared" si="37"/>
        <v>13757011.519999996</v>
      </c>
      <c r="AN86" s="38">
        <f t="shared" si="37"/>
        <v>13744933.379999995</v>
      </c>
      <c r="AO86" s="38">
        <f t="shared" si="37"/>
        <v>13732855.239999995</v>
      </c>
      <c r="AP86" s="38">
        <f t="shared" si="37"/>
        <v>13720777.099999994</v>
      </c>
      <c r="AQ86" s="38">
        <f t="shared" si="37"/>
        <v>13708698.959999993</v>
      </c>
      <c r="AR86" s="38">
        <f t="shared" si="37"/>
        <v>13696620.819999993</v>
      </c>
      <c r="AS86" s="38">
        <f t="shared" si="34"/>
        <v>206536.34</v>
      </c>
      <c r="AT86" s="38">
        <f t="shared" si="30"/>
        <v>207523.88</v>
      </c>
      <c r="AU86" s="38">
        <f t="shared" si="31"/>
        <v>12078.14</v>
      </c>
      <c r="AV86" s="68">
        <f t="shared" si="35"/>
        <v>17293.66</v>
      </c>
      <c r="AW86" s="38">
        <f t="shared" si="32"/>
        <v>12078.14</v>
      </c>
      <c r="AX86" s="38"/>
      <c r="AY86" s="38"/>
      <c r="AZ86" s="44"/>
      <c r="BA86" s="84"/>
      <c r="BB86" s="45"/>
      <c r="BC86" s="45"/>
      <c r="BD86" s="45"/>
    </row>
    <row r="87" spans="1:56" s="69" customFormat="1" ht="36" x14ac:dyDescent="0.25">
      <c r="A87" s="36"/>
      <c r="B87" s="31">
        <v>116</v>
      </c>
      <c r="C87" s="31" t="s">
        <v>58</v>
      </c>
      <c r="D87" s="31" t="s">
        <v>140</v>
      </c>
      <c r="E87" s="35" t="s">
        <v>141</v>
      </c>
      <c r="F87" s="35">
        <v>5</v>
      </c>
      <c r="G87" s="31">
        <v>516</v>
      </c>
      <c r="H87" s="31" t="s">
        <v>209</v>
      </c>
      <c r="I87" s="36"/>
      <c r="J87" s="37"/>
      <c r="K87" s="37">
        <f>ROUND($J$84/O87*T87,2)</f>
        <v>19660416.190000001</v>
      </c>
      <c r="L87" s="38"/>
      <c r="M87" s="38">
        <f>IF(V87="Да",ROUND($L$84/O87*T87,2),L87)</f>
        <v>18775697.550000001</v>
      </c>
      <c r="N87" s="36">
        <v>3</v>
      </c>
      <c r="O87" s="36">
        <v>142.82</v>
      </c>
      <c r="P87" s="36">
        <f>64.8</f>
        <v>64.8</v>
      </c>
      <c r="Q87" s="36">
        <v>29.8</v>
      </c>
      <c r="R87" s="36">
        <f>O87-SUM($Q$84:$Q$87)</f>
        <v>84.11999999999999</v>
      </c>
      <c r="S87" s="36">
        <f>R87/SUM($W$84:$W$87)</f>
        <v>28.039999999999996</v>
      </c>
      <c r="T87" s="36">
        <f>ROUND(Q87+S87*W87,2)</f>
        <v>57.84</v>
      </c>
      <c r="U87" s="116" t="s">
        <v>215</v>
      </c>
      <c r="V87" s="48" t="s">
        <v>104</v>
      </c>
      <c r="W87" s="31">
        <v>1</v>
      </c>
      <c r="X87" s="31" t="s">
        <v>216</v>
      </c>
      <c r="Y87" s="42"/>
      <c r="Z87" s="42">
        <v>19.3</v>
      </c>
      <c r="AA87" s="42" t="s">
        <v>145</v>
      </c>
      <c r="AB87" s="42">
        <f t="shared" si="22"/>
        <v>1.2</v>
      </c>
      <c r="AC87" s="43">
        <f t="shared" si="23"/>
        <v>23.16</v>
      </c>
      <c r="AD87" s="38">
        <f t="shared" si="24"/>
        <v>1339.57</v>
      </c>
      <c r="AE87" s="38">
        <f>ROUND(40455/O87*T87,2)</f>
        <v>16383.68</v>
      </c>
      <c r="AF87" s="38">
        <f t="shared" si="25"/>
        <v>18775697.550000001</v>
      </c>
      <c r="AG87" s="38">
        <f t="shared" si="26"/>
        <v>18759313.870000001</v>
      </c>
      <c r="AH87" s="38">
        <f t="shared" si="27"/>
        <v>18742930.190000001</v>
      </c>
      <c r="AI87" s="38">
        <f t="shared" si="28"/>
        <v>18726546.510000002</v>
      </c>
      <c r="AJ87" s="38">
        <f t="shared" si="29"/>
        <v>18710162.830000002</v>
      </c>
      <c r="AK87" s="38">
        <f t="shared" si="37"/>
        <v>18693779.150000002</v>
      </c>
      <c r="AL87" s="38">
        <f t="shared" si="37"/>
        <v>18677395.470000003</v>
      </c>
      <c r="AM87" s="38">
        <f t="shared" si="37"/>
        <v>18661011.790000003</v>
      </c>
      <c r="AN87" s="38">
        <f t="shared" si="37"/>
        <v>18644628.110000003</v>
      </c>
      <c r="AO87" s="38">
        <f t="shared" si="37"/>
        <v>18628244.430000003</v>
      </c>
      <c r="AP87" s="38">
        <f t="shared" si="37"/>
        <v>18611860.750000004</v>
      </c>
      <c r="AQ87" s="38">
        <f t="shared" si="37"/>
        <v>18595477.070000004</v>
      </c>
      <c r="AR87" s="38">
        <f t="shared" si="37"/>
        <v>18579093.390000004</v>
      </c>
      <c r="AS87" s="38">
        <f t="shared" si="34"/>
        <v>280160.93</v>
      </c>
      <c r="AT87" s="38">
        <f t="shared" si="30"/>
        <v>281500.5</v>
      </c>
      <c r="AU87" s="38">
        <f t="shared" si="31"/>
        <v>16383.68</v>
      </c>
      <c r="AV87" s="68">
        <f t="shared" si="35"/>
        <v>23458.38</v>
      </c>
      <c r="AW87" s="38">
        <f t="shared" si="32"/>
        <v>16383.68</v>
      </c>
      <c r="AX87" s="38"/>
      <c r="AY87" s="38"/>
      <c r="AZ87" s="44"/>
      <c r="BA87" s="84"/>
      <c r="BB87" s="45"/>
      <c r="BC87" s="45"/>
      <c r="BD87" s="45"/>
    </row>
    <row r="88" spans="1:56" s="21" customFormat="1" ht="36" x14ac:dyDescent="0.25">
      <c r="A88" s="7"/>
      <c r="B88" s="7">
        <v>118</v>
      </c>
      <c r="C88" s="7" t="s">
        <v>217</v>
      </c>
      <c r="D88" s="7" t="s">
        <v>218</v>
      </c>
      <c r="E88" s="34" t="s">
        <v>219</v>
      </c>
      <c r="F88" s="8" t="s">
        <v>220</v>
      </c>
      <c r="G88" s="7">
        <v>11</v>
      </c>
      <c r="H88" s="9" t="s">
        <v>221</v>
      </c>
      <c r="I88" s="10">
        <v>1</v>
      </c>
      <c r="J88" s="11">
        <v>13258000</v>
      </c>
      <c r="K88" s="11"/>
      <c r="L88" s="12">
        <v>12661390.179999996</v>
      </c>
      <c r="M88" s="12">
        <f t="shared" ref="M88:M151" si="38">L88</f>
        <v>12661390.179999996</v>
      </c>
      <c r="N88" s="10">
        <v>1</v>
      </c>
      <c r="O88" s="33">
        <v>41.1</v>
      </c>
      <c r="P88" s="33">
        <v>22.7</v>
      </c>
      <c r="Q88" s="10"/>
      <c r="R88" s="10"/>
      <c r="S88" s="10"/>
      <c r="T88" s="10"/>
      <c r="U88" s="124" t="s">
        <v>222</v>
      </c>
      <c r="V88" s="14" t="s">
        <v>56</v>
      </c>
      <c r="W88" s="7"/>
      <c r="X88" s="7"/>
      <c r="Y88" s="15"/>
      <c r="Z88" s="15">
        <v>19.3</v>
      </c>
      <c r="AA88" s="15" t="s">
        <v>89</v>
      </c>
      <c r="AB88" s="15">
        <f t="shared" si="22"/>
        <v>1.4</v>
      </c>
      <c r="AC88" s="16">
        <f t="shared" si="23"/>
        <v>27.02</v>
      </c>
      <c r="AD88" s="12">
        <f t="shared" si="24"/>
        <v>1110.52</v>
      </c>
      <c r="AE88" s="12">
        <f>ROUND(J88/(100*12),2)</f>
        <v>11048.33</v>
      </c>
      <c r="AF88" s="12">
        <f t="shared" si="25"/>
        <v>12661390.179999996</v>
      </c>
      <c r="AG88" s="12">
        <f t="shared" si="26"/>
        <v>12650341.849999996</v>
      </c>
      <c r="AH88" s="12">
        <f t="shared" si="27"/>
        <v>12639293.519999996</v>
      </c>
      <c r="AI88" s="12">
        <f t="shared" si="28"/>
        <v>12628245.189999996</v>
      </c>
      <c r="AJ88" s="12">
        <f t="shared" si="29"/>
        <v>12617196.859999996</v>
      </c>
      <c r="AK88" s="12">
        <f t="shared" si="37"/>
        <v>12606148.529999996</v>
      </c>
      <c r="AL88" s="12">
        <f t="shared" si="37"/>
        <v>12595100.199999996</v>
      </c>
      <c r="AM88" s="12">
        <f t="shared" si="37"/>
        <v>12584051.869999995</v>
      </c>
      <c r="AN88" s="12">
        <f t="shared" si="37"/>
        <v>12573003.539999995</v>
      </c>
      <c r="AO88" s="12">
        <f t="shared" si="37"/>
        <v>12561955.209999995</v>
      </c>
      <c r="AP88" s="12">
        <f t="shared" si="37"/>
        <v>12550906.879999995</v>
      </c>
      <c r="AQ88" s="12">
        <f t="shared" si="37"/>
        <v>12539858.549999995</v>
      </c>
      <c r="AR88" s="17">
        <f t="shared" si="37"/>
        <v>12528810.219999995</v>
      </c>
      <c r="AS88" s="12">
        <f t="shared" si="34"/>
        <v>188926.5</v>
      </c>
      <c r="AT88" s="12">
        <f t="shared" si="30"/>
        <v>190037.02</v>
      </c>
      <c r="AU88" s="12">
        <f t="shared" si="31"/>
        <v>11048.33</v>
      </c>
      <c r="AV88" s="18">
        <f t="shared" si="35"/>
        <v>15836.42</v>
      </c>
      <c r="AW88" s="17">
        <f t="shared" si="32"/>
        <v>11048.33</v>
      </c>
      <c r="AX88" s="12"/>
      <c r="AY88" s="12"/>
      <c r="AZ88" s="19"/>
      <c r="BA88" s="20"/>
      <c r="BB88" s="20"/>
      <c r="BC88" s="20"/>
      <c r="BD88" s="20"/>
    </row>
    <row r="89" spans="1:56" s="69" customFormat="1" ht="36" x14ac:dyDescent="0.25">
      <c r="A89" s="31"/>
      <c r="B89" s="31">
        <v>119</v>
      </c>
      <c r="C89" s="31" t="s">
        <v>217</v>
      </c>
      <c r="D89" s="31" t="s">
        <v>218</v>
      </c>
      <c r="E89" s="35" t="s">
        <v>219</v>
      </c>
      <c r="F89" s="125" t="s">
        <v>220</v>
      </c>
      <c r="G89" s="31">
        <v>18</v>
      </c>
      <c r="H89" s="31" t="s">
        <v>223</v>
      </c>
      <c r="I89" s="36">
        <v>1</v>
      </c>
      <c r="J89" s="37">
        <v>13226000</v>
      </c>
      <c r="K89" s="37"/>
      <c r="L89" s="38">
        <v>12630829.820000004</v>
      </c>
      <c r="M89" s="38">
        <f t="shared" si="38"/>
        <v>12630829.820000004</v>
      </c>
      <c r="N89" s="36">
        <v>1</v>
      </c>
      <c r="O89" s="126">
        <v>41</v>
      </c>
      <c r="P89" s="126">
        <v>22.9</v>
      </c>
      <c r="Q89" s="36"/>
      <c r="R89" s="36"/>
      <c r="S89" s="36"/>
      <c r="T89" s="36"/>
      <c r="U89" s="67" t="s">
        <v>224</v>
      </c>
      <c r="V89" s="48" t="s">
        <v>56</v>
      </c>
      <c r="W89" s="31"/>
      <c r="X89" s="31"/>
      <c r="Y89" s="42"/>
      <c r="Z89" s="42">
        <v>19.3</v>
      </c>
      <c r="AA89" s="42" t="s">
        <v>89</v>
      </c>
      <c r="AB89" s="42">
        <f t="shared" si="22"/>
        <v>1.4</v>
      </c>
      <c r="AC89" s="43">
        <f t="shared" si="23"/>
        <v>27.02</v>
      </c>
      <c r="AD89" s="38">
        <f t="shared" si="24"/>
        <v>1107.82</v>
      </c>
      <c r="AE89" s="38">
        <f>ROUND(J89/(100*12),2)</f>
        <v>11021.67</v>
      </c>
      <c r="AF89" s="38">
        <f t="shared" si="25"/>
        <v>12630829.820000004</v>
      </c>
      <c r="AG89" s="38">
        <f t="shared" si="26"/>
        <v>12619808.150000004</v>
      </c>
      <c r="AH89" s="38">
        <f t="shared" si="27"/>
        <v>12608786.480000004</v>
      </c>
      <c r="AI89" s="38">
        <f t="shared" si="28"/>
        <v>12597764.810000004</v>
      </c>
      <c r="AJ89" s="38">
        <f t="shared" si="29"/>
        <v>12586743.140000004</v>
      </c>
      <c r="AK89" s="38">
        <f t="shared" si="37"/>
        <v>12575721.470000004</v>
      </c>
      <c r="AL89" s="38">
        <f t="shared" si="37"/>
        <v>12564699.800000004</v>
      </c>
      <c r="AM89" s="38">
        <f t="shared" si="37"/>
        <v>12553678.130000005</v>
      </c>
      <c r="AN89" s="38">
        <f t="shared" si="37"/>
        <v>12542656.460000005</v>
      </c>
      <c r="AO89" s="38">
        <f t="shared" si="37"/>
        <v>12531634.790000005</v>
      </c>
      <c r="AP89" s="38">
        <f t="shared" si="37"/>
        <v>12520613.120000005</v>
      </c>
      <c r="AQ89" s="38">
        <f t="shared" si="37"/>
        <v>12509591.450000005</v>
      </c>
      <c r="AR89" s="38">
        <f t="shared" si="37"/>
        <v>12498569.780000005</v>
      </c>
      <c r="AS89" s="38">
        <f t="shared" si="34"/>
        <v>188470.5</v>
      </c>
      <c r="AT89" s="38">
        <f t="shared" si="30"/>
        <v>189578.32</v>
      </c>
      <c r="AU89" s="38">
        <f t="shared" si="31"/>
        <v>11021.67</v>
      </c>
      <c r="AV89" s="68">
        <f t="shared" si="35"/>
        <v>15798.19</v>
      </c>
      <c r="AW89" s="38">
        <f t="shared" si="32"/>
        <v>11021.67</v>
      </c>
      <c r="AX89" s="38"/>
      <c r="AY89" s="38"/>
      <c r="AZ89" s="44"/>
      <c r="BA89" s="45"/>
      <c r="BB89" s="45"/>
      <c r="BC89" s="45"/>
      <c r="BD89" s="45"/>
    </row>
    <row r="90" spans="1:56" s="21" customFormat="1" ht="36" x14ac:dyDescent="0.25">
      <c r="A90" s="7"/>
      <c r="B90" s="7">
        <v>121</v>
      </c>
      <c r="C90" s="7" t="s">
        <v>217</v>
      </c>
      <c r="D90" s="7" t="s">
        <v>218</v>
      </c>
      <c r="E90" s="34" t="s">
        <v>219</v>
      </c>
      <c r="F90" s="8" t="s">
        <v>220</v>
      </c>
      <c r="G90" s="7">
        <v>39</v>
      </c>
      <c r="H90" s="9" t="s">
        <v>225</v>
      </c>
      <c r="I90" s="10">
        <v>1</v>
      </c>
      <c r="J90" s="11">
        <v>13291000</v>
      </c>
      <c r="K90" s="11"/>
      <c r="L90" s="12">
        <v>12692905.179999996</v>
      </c>
      <c r="M90" s="12">
        <f t="shared" si="38"/>
        <v>12692905.179999996</v>
      </c>
      <c r="N90" s="10">
        <v>1</v>
      </c>
      <c r="O90" s="33">
        <v>41.2</v>
      </c>
      <c r="P90" s="33">
        <v>23</v>
      </c>
      <c r="Q90" s="10"/>
      <c r="R90" s="10"/>
      <c r="S90" s="10"/>
      <c r="T90" s="10"/>
      <c r="U90" s="13" t="s">
        <v>226</v>
      </c>
      <c r="V90" s="14" t="s">
        <v>56</v>
      </c>
      <c r="W90" s="7"/>
      <c r="X90" s="7"/>
      <c r="Y90" s="15"/>
      <c r="Z90" s="15">
        <v>19.3</v>
      </c>
      <c r="AA90" s="15" t="s">
        <v>89</v>
      </c>
      <c r="AB90" s="15">
        <f t="shared" si="22"/>
        <v>1.4</v>
      </c>
      <c r="AC90" s="16">
        <f t="shared" si="23"/>
        <v>27.02</v>
      </c>
      <c r="AD90" s="12">
        <f t="shared" si="24"/>
        <v>1113.22</v>
      </c>
      <c r="AE90" s="12">
        <f>ROUND(J90/(100*12),2)</f>
        <v>11075.83</v>
      </c>
      <c r="AF90" s="12">
        <f t="shared" si="25"/>
        <v>12692905.179999996</v>
      </c>
      <c r="AG90" s="12">
        <f t="shared" si="26"/>
        <v>12681829.349999996</v>
      </c>
      <c r="AH90" s="12">
        <f t="shared" si="27"/>
        <v>12670753.519999996</v>
      </c>
      <c r="AI90" s="12">
        <f t="shared" si="28"/>
        <v>12659677.689999996</v>
      </c>
      <c r="AJ90" s="12">
        <f t="shared" si="29"/>
        <v>12648601.859999996</v>
      </c>
      <c r="AK90" s="12">
        <f t="shared" si="37"/>
        <v>12637526.029999996</v>
      </c>
      <c r="AL90" s="12">
        <f t="shared" si="37"/>
        <v>12626450.199999996</v>
      </c>
      <c r="AM90" s="12">
        <f t="shared" si="37"/>
        <v>12615374.369999995</v>
      </c>
      <c r="AN90" s="12">
        <f t="shared" si="37"/>
        <v>12604298.539999995</v>
      </c>
      <c r="AO90" s="12">
        <f t="shared" si="37"/>
        <v>12593222.709999995</v>
      </c>
      <c r="AP90" s="12">
        <f t="shared" si="37"/>
        <v>12582146.879999995</v>
      </c>
      <c r="AQ90" s="12">
        <f t="shared" si="37"/>
        <v>12571071.049999995</v>
      </c>
      <c r="AR90" s="17">
        <f t="shared" si="37"/>
        <v>12559995.219999995</v>
      </c>
      <c r="AS90" s="12">
        <f t="shared" si="34"/>
        <v>189396.75</v>
      </c>
      <c r="AT90" s="12">
        <f t="shared" si="30"/>
        <v>190509.97</v>
      </c>
      <c r="AU90" s="12">
        <f t="shared" si="31"/>
        <v>11075.83</v>
      </c>
      <c r="AV90" s="18">
        <f t="shared" si="35"/>
        <v>15875.83</v>
      </c>
      <c r="AW90" s="17">
        <f t="shared" si="32"/>
        <v>11075.83</v>
      </c>
      <c r="AX90" s="12"/>
      <c r="AY90" s="12"/>
      <c r="AZ90" s="19"/>
      <c r="BA90" s="20"/>
      <c r="BB90" s="20"/>
      <c r="BC90" s="20"/>
      <c r="BD90" s="20"/>
    </row>
    <row r="91" spans="1:56" s="69" customFormat="1" ht="36" x14ac:dyDescent="0.25">
      <c r="A91" s="31"/>
      <c r="B91" s="31">
        <v>122</v>
      </c>
      <c r="C91" s="31" t="s">
        <v>217</v>
      </c>
      <c r="D91" s="31" t="s">
        <v>218</v>
      </c>
      <c r="E91" s="35" t="s">
        <v>219</v>
      </c>
      <c r="F91" s="125" t="s">
        <v>220</v>
      </c>
      <c r="G91" s="31">
        <v>53</v>
      </c>
      <c r="H91" s="31" t="s">
        <v>227</v>
      </c>
      <c r="I91" s="36">
        <v>1</v>
      </c>
      <c r="J91" s="37">
        <v>13291000</v>
      </c>
      <c r="K91" s="37"/>
      <c r="L91" s="38">
        <v>12692905.179999996</v>
      </c>
      <c r="M91" s="38">
        <f t="shared" si="38"/>
        <v>12692905.179999996</v>
      </c>
      <c r="N91" s="36">
        <v>1</v>
      </c>
      <c r="O91" s="126">
        <v>41.2</v>
      </c>
      <c r="P91" s="126">
        <v>22.9</v>
      </c>
      <c r="Q91" s="36"/>
      <c r="R91" s="36"/>
      <c r="S91" s="36"/>
      <c r="T91" s="36"/>
      <c r="U91" s="67" t="s">
        <v>228</v>
      </c>
      <c r="V91" s="48" t="s">
        <v>56</v>
      </c>
      <c r="W91" s="31"/>
      <c r="X91" s="31"/>
      <c r="Y91" s="42"/>
      <c r="Z91" s="42">
        <v>19.3</v>
      </c>
      <c r="AA91" s="42" t="s">
        <v>89</v>
      </c>
      <c r="AB91" s="42">
        <f t="shared" si="22"/>
        <v>1.4</v>
      </c>
      <c r="AC91" s="43">
        <f t="shared" si="23"/>
        <v>27.02</v>
      </c>
      <c r="AD91" s="38">
        <f t="shared" si="24"/>
        <v>1113.22</v>
      </c>
      <c r="AE91" s="38">
        <f>ROUND(J91/(100*12),2)</f>
        <v>11075.83</v>
      </c>
      <c r="AF91" s="38">
        <f t="shared" si="25"/>
        <v>12692905.179999996</v>
      </c>
      <c r="AG91" s="38">
        <f t="shared" si="26"/>
        <v>12681829.349999996</v>
      </c>
      <c r="AH91" s="38">
        <f t="shared" si="27"/>
        <v>12670753.519999996</v>
      </c>
      <c r="AI91" s="38">
        <f t="shared" si="28"/>
        <v>12659677.689999996</v>
      </c>
      <c r="AJ91" s="38">
        <f t="shared" si="29"/>
        <v>12648601.859999996</v>
      </c>
      <c r="AK91" s="38">
        <f t="shared" si="37"/>
        <v>12637526.029999996</v>
      </c>
      <c r="AL91" s="38">
        <f t="shared" si="37"/>
        <v>12626450.199999996</v>
      </c>
      <c r="AM91" s="38">
        <f t="shared" si="37"/>
        <v>12615374.369999995</v>
      </c>
      <c r="AN91" s="38">
        <f t="shared" si="37"/>
        <v>12604298.539999995</v>
      </c>
      <c r="AO91" s="38">
        <f t="shared" si="37"/>
        <v>12593222.709999995</v>
      </c>
      <c r="AP91" s="38">
        <f t="shared" si="37"/>
        <v>12582146.879999995</v>
      </c>
      <c r="AQ91" s="38">
        <f t="shared" si="37"/>
        <v>12571071.049999995</v>
      </c>
      <c r="AR91" s="38">
        <f t="shared" si="37"/>
        <v>12559995.219999995</v>
      </c>
      <c r="AS91" s="38">
        <f t="shared" si="34"/>
        <v>189396.75</v>
      </c>
      <c r="AT91" s="38">
        <f t="shared" si="30"/>
        <v>190509.97</v>
      </c>
      <c r="AU91" s="38">
        <f t="shared" si="31"/>
        <v>11075.83</v>
      </c>
      <c r="AV91" s="68">
        <f t="shared" si="35"/>
        <v>15875.83</v>
      </c>
      <c r="AW91" s="38">
        <f t="shared" si="32"/>
        <v>11075.83</v>
      </c>
      <c r="AX91" s="38"/>
      <c r="AY91" s="38"/>
      <c r="AZ91" s="44"/>
      <c r="BA91" s="45"/>
      <c r="BB91" s="45"/>
      <c r="BC91" s="45"/>
      <c r="BD91" s="45"/>
    </row>
    <row r="92" spans="1:56" s="21" customFormat="1" ht="36" x14ac:dyDescent="0.25">
      <c r="A92" s="7"/>
      <c r="B92" s="7">
        <v>123</v>
      </c>
      <c r="C92" s="7" t="s">
        <v>58</v>
      </c>
      <c r="D92" s="7" t="s">
        <v>218</v>
      </c>
      <c r="E92" s="34" t="s">
        <v>229</v>
      </c>
      <c r="F92" s="8" t="s">
        <v>230</v>
      </c>
      <c r="G92" s="7">
        <v>277</v>
      </c>
      <c r="H92" s="9" t="s">
        <v>231</v>
      </c>
      <c r="I92" s="10">
        <v>1</v>
      </c>
      <c r="J92" s="11">
        <v>53770000</v>
      </c>
      <c r="K92" s="11"/>
      <c r="L92" s="12">
        <v>52443673.209999934</v>
      </c>
      <c r="M92" s="12">
        <f t="shared" si="38"/>
        <v>52443673.209999934</v>
      </c>
      <c r="N92" s="10">
        <v>3</v>
      </c>
      <c r="O92" s="33">
        <v>98</v>
      </c>
      <c r="P92" s="33">
        <v>51.5</v>
      </c>
      <c r="Q92" s="10"/>
      <c r="R92" s="10"/>
      <c r="S92" s="10"/>
      <c r="T92" s="10"/>
      <c r="U92" s="13" t="s">
        <v>232</v>
      </c>
      <c r="V92" s="14" t="s">
        <v>56</v>
      </c>
      <c r="W92" s="7"/>
      <c r="X92" s="7"/>
      <c r="Y92" s="15"/>
      <c r="Z92" s="15">
        <v>19.3</v>
      </c>
      <c r="AA92" s="15" t="s">
        <v>89</v>
      </c>
      <c r="AB92" s="15">
        <v>1.4</v>
      </c>
      <c r="AC92" s="16">
        <f t="shared" si="23"/>
        <v>27.02</v>
      </c>
      <c r="AD92" s="12">
        <f t="shared" si="24"/>
        <v>2647.96</v>
      </c>
      <c r="AE92" s="12">
        <f>ROUND(J92/(125*12),2)</f>
        <v>35846.67</v>
      </c>
      <c r="AF92" s="12">
        <f t="shared" si="25"/>
        <v>52443673.209999934</v>
      </c>
      <c r="AG92" s="12">
        <f t="shared" si="26"/>
        <v>52407826.539999932</v>
      </c>
      <c r="AH92" s="12">
        <f t="shared" si="27"/>
        <v>52371979.86999993</v>
      </c>
      <c r="AI92" s="12">
        <f t="shared" si="28"/>
        <v>52336133.199999928</v>
      </c>
      <c r="AJ92" s="12">
        <f t="shared" si="29"/>
        <v>52300286.529999927</v>
      </c>
      <c r="AK92" s="12">
        <f t="shared" si="37"/>
        <v>52264439.859999925</v>
      </c>
      <c r="AL92" s="12">
        <f t="shared" si="37"/>
        <v>52228593.189999923</v>
      </c>
      <c r="AM92" s="12">
        <f t="shared" si="37"/>
        <v>52192746.519999921</v>
      </c>
      <c r="AN92" s="12">
        <f t="shared" si="37"/>
        <v>52156899.84999992</v>
      </c>
      <c r="AO92" s="12">
        <f t="shared" si="37"/>
        <v>52121053.179999918</v>
      </c>
      <c r="AP92" s="12">
        <f t="shared" si="37"/>
        <v>52085206.509999916</v>
      </c>
      <c r="AQ92" s="12">
        <f t="shared" si="37"/>
        <v>52049359.839999914</v>
      </c>
      <c r="AR92" s="17">
        <f t="shared" si="37"/>
        <v>52013513.169999912</v>
      </c>
      <c r="AS92" s="12">
        <f t="shared" si="34"/>
        <v>783428.9</v>
      </c>
      <c r="AT92" s="12">
        <f t="shared" si="30"/>
        <v>786076.86</v>
      </c>
      <c r="AU92" s="12">
        <f t="shared" si="31"/>
        <v>35846.67</v>
      </c>
      <c r="AV92" s="18">
        <f t="shared" si="35"/>
        <v>65506.41</v>
      </c>
      <c r="AW92" s="17">
        <f t="shared" si="32"/>
        <v>35846.67</v>
      </c>
      <c r="AX92" s="12"/>
      <c r="AY92" s="12"/>
      <c r="AZ92" s="19"/>
      <c r="BA92" s="20"/>
      <c r="BB92" s="20"/>
      <c r="BC92" s="20"/>
      <c r="BD92" s="20"/>
    </row>
    <row r="93" spans="1:56" s="21" customFormat="1" ht="36" x14ac:dyDescent="0.25">
      <c r="A93" s="7"/>
      <c r="B93" s="7">
        <v>124</v>
      </c>
      <c r="C93" s="7" t="s">
        <v>58</v>
      </c>
      <c r="D93" s="7" t="s">
        <v>218</v>
      </c>
      <c r="E93" s="34" t="s">
        <v>229</v>
      </c>
      <c r="F93" s="8" t="s">
        <v>230</v>
      </c>
      <c r="G93" s="7">
        <v>614</v>
      </c>
      <c r="H93" s="9" t="s">
        <v>233</v>
      </c>
      <c r="I93" s="10">
        <v>1</v>
      </c>
      <c r="J93" s="11">
        <v>47131000</v>
      </c>
      <c r="K93" s="11"/>
      <c r="L93" s="12">
        <v>45968435.209999934</v>
      </c>
      <c r="M93" s="12">
        <f t="shared" si="38"/>
        <v>45968435.209999934</v>
      </c>
      <c r="N93" s="10">
        <v>3</v>
      </c>
      <c r="O93" s="33">
        <v>85.9</v>
      </c>
      <c r="P93" s="33">
        <v>50.3</v>
      </c>
      <c r="Q93" s="10"/>
      <c r="R93" s="10"/>
      <c r="S93" s="10"/>
      <c r="T93" s="10"/>
      <c r="U93" s="13" t="s">
        <v>234</v>
      </c>
      <c r="V93" s="14" t="s">
        <v>56</v>
      </c>
      <c r="W93" s="7"/>
      <c r="X93" s="7"/>
      <c r="Y93" s="15"/>
      <c r="Z93" s="15">
        <v>19.3</v>
      </c>
      <c r="AA93" s="15" t="s">
        <v>89</v>
      </c>
      <c r="AB93" s="15">
        <v>1.4</v>
      </c>
      <c r="AC93" s="16">
        <f t="shared" si="23"/>
        <v>27.02</v>
      </c>
      <c r="AD93" s="12">
        <f t="shared" si="24"/>
        <v>2321.02</v>
      </c>
      <c r="AE93" s="12">
        <f>ROUND(J93/(125*12),2)</f>
        <v>31420.67</v>
      </c>
      <c r="AF93" s="12">
        <f t="shared" si="25"/>
        <v>45968435.209999934</v>
      </c>
      <c r="AG93" s="12">
        <f t="shared" si="26"/>
        <v>45937014.539999932</v>
      </c>
      <c r="AH93" s="12">
        <f t="shared" si="27"/>
        <v>45905593.86999993</v>
      </c>
      <c r="AI93" s="12">
        <f t="shared" si="28"/>
        <v>45874173.199999928</v>
      </c>
      <c r="AJ93" s="12">
        <f t="shared" si="29"/>
        <v>45842752.529999927</v>
      </c>
      <c r="AK93" s="12">
        <f t="shared" si="37"/>
        <v>45811331.859999925</v>
      </c>
      <c r="AL93" s="12">
        <f t="shared" si="37"/>
        <v>45779911.189999923</v>
      </c>
      <c r="AM93" s="12">
        <f t="shared" si="37"/>
        <v>45748490.519999921</v>
      </c>
      <c r="AN93" s="12">
        <f t="shared" si="37"/>
        <v>45717069.84999992</v>
      </c>
      <c r="AO93" s="12">
        <f t="shared" si="37"/>
        <v>45685649.179999918</v>
      </c>
      <c r="AP93" s="12">
        <f t="shared" si="37"/>
        <v>45654228.509999916</v>
      </c>
      <c r="AQ93" s="12">
        <f t="shared" si="37"/>
        <v>45622807.839999914</v>
      </c>
      <c r="AR93" s="17">
        <f t="shared" si="37"/>
        <v>45591387.169999912</v>
      </c>
      <c r="AS93" s="12">
        <f t="shared" si="34"/>
        <v>686698.67</v>
      </c>
      <c r="AT93" s="12">
        <f t="shared" si="30"/>
        <v>689019.69000000006</v>
      </c>
      <c r="AU93" s="12">
        <f t="shared" si="31"/>
        <v>31420.67</v>
      </c>
      <c r="AV93" s="18">
        <f t="shared" si="35"/>
        <v>57418.31</v>
      </c>
      <c r="AW93" s="17">
        <f t="shared" si="32"/>
        <v>31420.67</v>
      </c>
      <c r="AX93" s="12"/>
      <c r="AY93" s="12"/>
      <c r="AZ93" s="19"/>
      <c r="BA93" s="20"/>
      <c r="BB93" s="20"/>
      <c r="BC93" s="20"/>
      <c r="BD93" s="20"/>
    </row>
    <row r="94" spans="1:56" s="21" customFormat="1" ht="36" x14ac:dyDescent="0.25">
      <c r="A94" s="7"/>
      <c r="B94" s="7">
        <v>125</v>
      </c>
      <c r="C94" s="7" t="s">
        <v>235</v>
      </c>
      <c r="D94" s="7" t="s">
        <v>236</v>
      </c>
      <c r="E94" s="7" t="s">
        <v>237</v>
      </c>
      <c r="F94" s="34">
        <v>81</v>
      </c>
      <c r="G94" s="7">
        <v>301</v>
      </c>
      <c r="H94" s="9" t="str">
        <f t="shared" ref="H94:H139" si="39">CONCATENATE("Жилой комплекс ",D94,","," ",E94," ",F94," ","-"," ",G94)</f>
        <v>Жилой комплекс Общежитие, Республики 81 - 301</v>
      </c>
      <c r="I94" s="10">
        <v>1</v>
      </c>
      <c r="J94" s="11">
        <v>4361851</v>
      </c>
      <c r="K94" s="11"/>
      <c r="L94" s="12">
        <v>4163474.5700000012</v>
      </c>
      <c r="M94" s="12">
        <f t="shared" si="38"/>
        <v>4163474.5700000012</v>
      </c>
      <c r="N94" s="10">
        <v>1</v>
      </c>
      <c r="O94" s="10">
        <v>27.9</v>
      </c>
      <c r="P94" s="10">
        <v>24.1</v>
      </c>
      <c r="Q94" s="10"/>
      <c r="R94" s="10"/>
      <c r="S94" s="10"/>
      <c r="T94" s="10"/>
      <c r="U94" s="127" t="s">
        <v>238</v>
      </c>
      <c r="V94" s="14" t="s">
        <v>56</v>
      </c>
      <c r="W94" s="7"/>
      <c r="X94" s="7"/>
      <c r="Y94" s="15"/>
      <c r="Z94" s="15">
        <v>19.3</v>
      </c>
      <c r="AA94" s="15" t="s">
        <v>89</v>
      </c>
      <c r="AB94" s="15">
        <f t="shared" si="22"/>
        <v>1.4</v>
      </c>
      <c r="AC94" s="16">
        <f t="shared" si="23"/>
        <v>27.02</v>
      </c>
      <c r="AD94" s="12">
        <f t="shared" si="24"/>
        <v>753.86</v>
      </c>
      <c r="AE94" s="15">
        <v>8179.71</v>
      </c>
      <c r="AF94" s="12">
        <f t="shared" si="25"/>
        <v>4163474.5700000012</v>
      </c>
      <c r="AG94" s="12">
        <f t="shared" si="26"/>
        <v>4155294.8600000013</v>
      </c>
      <c r="AH94" s="12">
        <f t="shared" si="27"/>
        <v>4147115.1500000013</v>
      </c>
      <c r="AI94" s="12">
        <f t="shared" si="28"/>
        <v>4138935.4400000013</v>
      </c>
      <c r="AJ94" s="12">
        <f t="shared" si="29"/>
        <v>4130755.7300000014</v>
      </c>
      <c r="AK94" s="12">
        <f t="shared" si="37"/>
        <v>4122576.0200000014</v>
      </c>
      <c r="AL94" s="12">
        <f t="shared" si="37"/>
        <v>4114396.3100000015</v>
      </c>
      <c r="AM94" s="12">
        <f t="shared" si="37"/>
        <v>4106216.6000000015</v>
      </c>
      <c r="AN94" s="12">
        <f t="shared" si="37"/>
        <v>4098036.8900000015</v>
      </c>
      <c r="AO94" s="12">
        <f t="shared" si="37"/>
        <v>4089857.1800000016</v>
      </c>
      <c r="AP94" s="12">
        <f t="shared" si="37"/>
        <v>4081677.4700000016</v>
      </c>
      <c r="AQ94" s="12">
        <f t="shared" si="37"/>
        <v>4073497.7600000016</v>
      </c>
      <c r="AR94" s="17">
        <f t="shared" si="37"/>
        <v>4065318.0500000017</v>
      </c>
      <c r="AS94" s="12">
        <f t="shared" si="34"/>
        <v>61715.94</v>
      </c>
      <c r="AT94" s="12">
        <f t="shared" si="30"/>
        <v>62469.8</v>
      </c>
      <c r="AU94" s="12">
        <f t="shared" si="31"/>
        <v>8179.71</v>
      </c>
      <c r="AV94" s="18">
        <f t="shared" si="35"/>
        <v>5205.82</v>
      </c>
      <c r="AW94" s="17">
        <f t="shared" si="32"/>
        <v>8179.71</v>
      </c>
      <c r="AX94" s="12"/>
      <c r="AY94" s="12"/>
      <c r="AZ94" s="19"/>
      <c r="BA94" s="20"/>
      <c r="BB94" s="20"/>
      <c r="BC94" s="20"/>
      <c r="BD94" s="20"/>
    </row>
    <row r="95" spans="1:56" s="21" customFormat="1" ht="36" x14ac:dyDescent="0.25">
      <c r="A95" s="7"/>
      <c r="B95" s="7">
        <v>126</v>
      </c>
      <c r="C95" s="7" t="s">
        <v>235</v>
      </c>
      <c r="D95" s="7" t="s">
        <v>236</v>
      </c>
      <c r="E95" s="7" t="s">
        <v>237</v>
      </c>
      <c r="F95" s="34">
        <v>81</v>
      </c>
      <c r="G95" s="7">
        <v>302</v>
      </c>
      <c r="H95" s="9" t="str">
        <f t="shared" si="39"/>
        <v>Жилой комплекс Общежитие, Республики 81 - 302</v>
      </c>
      <c r="I95" s="10">
        <v>1</v>
      </c>
      <c r="J95" s="11">
        <v>4158611</v>
      </c>
      <c r="K95" s="11"/>
      <c r="L95" s="12">
        <v>3969477.6199999973</v>
      </c>
      <c r="M95" s="12">
        <f t="shared" si="38"/>
        <v>3969477.6199999973</v>
      </c>
      <c r="N95" s="10">
        <v>1</v>
      </c>
      <c r="O95" s="10">
        <v>26.6</v>
      </c>
      <c r="P95" s="10">
        <v>23.2</v>
      </c>
      <c r="Q95" s="10"/>
      <c r="R95" s="10"/>
      <c r="S95" s="10"/>
      <c r="T95" s="10"/>
      <c r="U95" s="127" t="s">
        <v>239</v>
      </c>
      <c r="V95" s="14" t="s">
        <v>56</v>
      </c>
      <c r="W95" s="7"/>
      <c r="X95" s="7"/>
      <c r="Y95" s="15"/>
      <c r="Z95" s="15">
        <v>19.3</v>
      </c>
      <c r="AA95" s="15" t="s">
        <v>89</v>
      </c>
      <c r="AB95" s="15">
        <f t="shared" si="22"/>
        <v>1.4</v>
      </c>
      <c r="AC95" s="16">
        <f t="shared" si="23"/>
        <v>27.02</v>
      </c>
      <c r="AD95" s="12">
        <f t="shared" si="24"/>
        <v>718.73</v>
      </c>
      <c r="AE95" s="15">
        <v>7798.58</v>
      </c>
      <c r="AF95" s="12">
        <f t="shared" si="25"/>
        <v>3969477.6199999973</v>
      </c>
      <c r="AG95" s="12">
        <f t="shared" si="26"/>
        <v>3961679.0399999972</v>
      </c>
      <c r="AH95" s="12">
        <f t="shared" si="27"/>
        <v>3953880.4599999972</v>
      </c>
      <c r="AI95" s="12">
        <f t="shared" si="28"/>
        <v>3946081.8799999971</v>
      </c>
      <c r="AJ95" s="12">
        <f t="shared" si="29"/>
        <v>3938283.299999997</v>
      </c>
      <c r="AK95" s="12">
        <f t="shared" si="37"/>
        <v>3930484.7199999969</v>
      </c>
      <c r="AL95" s="12">
        <f t="shared" si="37"/>
        <v>3922686.1399999969</v>
      </c>
      <c r="AM95" s="12">
        <f t="shared" si="37"/>
        <v>3914887.5599999968</v>
      </c>
      <c r="AN95" s="12">
        <f t="shared" si="37"/>
        <v>3907088.9799999967</v>
      </c>
      <c r="AO95" s="12">
        <f t="shared" si="37"/>
        <v>3899290.3999999966</v>
      </c>
      <c r="AP95" s="12">
        <f t="shared" si="37"/>
        <v>3891491.8199999966</v>
      </c>
      <c r="AQ95" s="12">
        <f t="shared" si="37"/>
        <v>3883693.2399999965</v>
      </c>
      <c r="AR95" s="17">
        <f t="shared" si="37"/>
        <v>3875894.6599999964</v>
      </c>
      <c r="AS95" s="12">
        <f t="shared" si="34"/>
        <v>58840.29</v>
      </c>
      <c r="AT95" s="12">
        <f t="shared" si="30"/>
        <v>59559.020000000004</v>
      </c>
      <c r="AU95" s="12">
        <f t="shared" si="31"/>
        <v>7798.58</v>
      </c>
      <c r="AV95" s="18">
        <f t="shared" si="35"/>
        <v>4963.25</v>
      </c>
      <c r="AW95" s="17">
        <f t="shared" si="32"/>
        <v>7798.58</v>
      </c>
      <c r="AX95" s="12"/>
      <c r="AY95" s="12"/>
      <c r="AZ95" s="19"/>
      <c r="BA95" s="20"/>
      <c r="BB95" s="20"/>
      <c r="BC95" s="20"/>
      <c r="BD95" s="20"/>
    </row>
    <row r="96" spans="1:56" s="21" customFormat="1" ht="36" x14ac:dyDescent="0.25">
      <c r="A96" s="7"/>
      <c r="B96" s="7">
        <v>127</v>
      </c>
      <c r="C96" s="7" t="s">
        <v>235</v>
      </c>
      <c r="D96" s="7" t="s">
        <v>236</v>
      </c>
      <c r="E96" s="7" t="s">
        <v>237</v>
      </c>
      <c r="F96" s="34">
        <v>81</v>
      </c>
      <c r="G96" s="7">
        <v>303</v>
      </c>
      <c r="H96" s="9" t="str">
        <f t="shared" si="39"/>
        <v>Жилой комплекс Общежитие, Республики 81 - 303</v>
      </c>
      <c r="I96" s="10">
        <v>1</v>
      </c>
      <c r="J96" s="11">
        <v>4205512</v>
      </c>
      <c r="K96" s="11"/>
      <c r="L96" s="12">
        <v>4014245.6600000015</v>
      </c>
      <c r="M96" s="12">
        <f t="shared" si="38"/>
        <v>4014245.6600000015</v>
      </c>
      <c r="N96" s="10">
        <v>1</v>
      </c>
      <c r="O96" s="10">
        <v>26.9</v>
      </c>
      <c r="P96" s="10">
        <v>23.4</v>
      </c>
      <c r="Q96" s="10"/>
      <c r="R96" s="10"/>
      <c r="S96" s="10"/>
      <c r="T96" s="10"/>
      <c r="U96" s="127" t="s">
        <v>240</v>
      </c>
      <c r="V96" s="14" t="s">
        <v>56</v>
      </c>
      <c r="W96" s="7"/>
      <c r="X96" s="7"/>
      <c r="Y96" s="15"/>
      <c r="Z96" s="15">
        <v>19.3</v>
      </c>
      <c r="AA96" s="15" t="s">
        <v>89</v>
      </c>
      <c r="AB96" s="15">
        <f t="shared" si="22"/>
        <v>1.4</v>
      </c>
      <c r="AC96" s="16">
        <f t="shared" si="23"/>
        <v>27.02</v>
      </c>
      <c r="AD96" s="12">
        <f t="shared" si="24"/>
        <v>726.84</v>
      </c>
      <c r="AE96" s="15">
        <v>7886.53</v>
      </c>
      <c r="AF96" s="12">
        <f t="shared" si="25"/>
        <v>4014245.6600000015</v>
      </c>
      <c r="AG96" s="12">
        <f t="shared" si="26"/>
        <v>4006359.1300000018</v>
      </c>
      <c r="AH96" s="12">
        <f t="shared" si="27"/>
        <v>3998472.600000002</v>
      </c>
      <c r="AI96" s="12">
        <f t="shared" si="28"/>
        <v>3990586.0700000022</v>
      </c>
      <c r="AJ96" s="12">
        <f t="shared" si="29"/>
        <v>3982699.5400000024</v>
      </c>
      <c r="AK96" s="12">
        <f t="shared" si="37"/>
        <v>3974813.0100000026</v>
      </c>
      <c r="AL96" s="12">
        <f t="shared" si="37"/>
        <v>3966926.4800000028</v>
      </c>
      <c r="AM96" s="12">
        <f t="shared" si="37"/>
        <v>3959039.950000003</v>
      </c>
      <c r="AN96" s="12">
        <f t="shared" si="37"/>
        <v>3951153.4200000032</v>
      </c>
      <c r="AO96" s="12">
        <f t="shared" si="37"/>
        <v>3943266.8900000034</v>
      </c>
      <c r="AP96" s="12">
        <f t="shared" si="37"/>
        <v>3935380.3600000036</v>
      </c>
      <c r="AQ96" s="12">
        <f t="shared" si="37"/>
        <v>3927493.8300000038</v>
      </c>
      <c r="AR96" s="17">
        <f t="shared" si="37"/>
        <v>3919607.300000004</v>
      </c>
      <c r="AS96" s="12">
        <f t="shared" si="34"/>
        <v>59503.9</v>
      </c>
      <c r="AT96" s="12">
        <f t="shared" si="30"/>
        <v>60230.74</v>
      </c>
      <c r="AU96" s="12">
        <f t="shared" si="31"/>
        <v>7886.53</v>
      </c>
      <c r="AV96" s="18">
        <f t="shared" si="35"/>
        <v>5019.2299999999996</v>
      </c>
      <c r="AW96" s="17">
        <f t="shared" si="32"/>
        <v>7886.53</v>
      </c>
      <c r="AX96" s="12"/>
      <c r="AY96" s="12"/>
      <c r="AZ96" s="19"/>
      <c r="BA96" s="20"/>
      <c r="BB96" s="20"/>
      <c r="BC96" s="20"/>
      <c r="BD96" s="20"/>
    </row>
    <row r="97" spans="1:56" s="21" customFormat="1" ht="36" x14ac:dyDescent="0.25">
      <c r="A97" s="7"/>
      <c r="B97" s="7">
        <v>128</v>
      </c>
      <c r="C97" s="7" t="s">
        <v>235</v>
      </c>
      <c r="D97" s="7" t="s">
        <v>236</v>
      </c>
      <c r="E97" s="7" t="s">
        <v>237</v>
      </c>
      <c r="F97" s="34">
        <v>81</v>
      </c>
      <c r="G97" s="7">
        <v>305</v>
      </c>
      <c r="H97" s="9" t="str">
        <f t="shared" si="39"/>
        <v>Жилой комплекс Общежитие, Республики 81 - 305</v>
      </c>
      <c r="I97" s="10">
        <v>1</v>
      </c>
      <c r="J97" s="11">
        <v>5096643</v>
      </c>
      <c r="K97" s="11"/>
      <c r="L97" s="12">
        <v>4864847.8799999943</v>
      </c>
      <c r="M97" s="12">
        <f t="shared" si="38"/>
        <v>4864847.8799999943</v>
      </c>
      <c r="N97" s="10">
        <v>1</v>
      </c>
      <c r="O97" s="10">
        <v>32.6</v>
      </c>
      <c r="P97" s="10">
        <v>14</v>
      </c>
      <c r="Q97" s="10"/>
      <c r="R97" s="10"/>
      <c r="S97" s="10"/>
      <c r="T97" s="10"/>
      <c r="U97" s="127" t="s">
        <v>241</v>
      </c>
      <c r="V97" s="14" t="s">
        <v>56</v>
      </c>
      <c r="W97" s="7"/>
      <c r="X97" s="7"/>
      <c r="Y97" s="15"/>
      <c r="Z97" s="15">
        <v>19.3</v>
      </c>
      <c r="AA97" s="15" t="s">
        <v>89</v>
      </c>
      <c r="AB97" s="15">
        <f t="shared" si="22"/>
        <v>1.4</v>
      </c>
      <c r="AC97" s="16">
        <f t="shared" si="23"/>
        <v>27.02</v>
      </c>
      <c r="AD97" s="12">
        <f t="shared" si="24"/>
        <v>880.85</v>
      </c>
      <c r="AE97" s="15">
        <v>9557.66</v>
      </c>
      <c r="AF97" s="12">
        <f t="shared" si="25"/>
        <v>4864847.8799999943</v>
      </c>
      <c r="AG97" s="12">
        <f t="shared" si="26"/>
        <v>4855290.2199999942</v>
      </c>
      <c r="AH97" s="12">
        <f t="shared" si="27"/>
        <v>4845732.559999994</v>
      </c>
      <c r="AI97" s="12">
        <f t="shared" si="28"/>
        <v>4836174.8999999939</v>
      </c>
      <c r="AJ97" s="12">
        <f t="shared" si="29"/>
        <v>4826617.2399999937</v>
      </c>
      <c r="AK97" s="12">
        <f t="shared" si="37"/>
        <v>4817059.5799999936</v>
      </c>
      <c r="AL97" s="12">
        <f t="shared" si="37"/>
        <v>4807501.9199999934</v>
      </c>
      <c r="AM97" s="12">
        <f t="shared" si="37"/>
        <v>4797944.2599999933</v>
      </c>
      <c r="AN97" s="12">
        <f t="shared" si="37"/>
        <v>4788386.5999999931</v>
      </c>
      <c r="AO97" s="12">
        <f t="shared" si="37"/>
        <v>4778828.939999993</v>
      </c>
      <c r="AP97" s="12">
        <f t="shared" si="37"/>
        <v>4769271.2799999928</v>
      </c>
      <c r="AQ97" s="12">
        <f t="shared" si="37"/>
        <v>4759713.6199999927</v>
      </c>
      <c r="AR97" s="17">
        <f t="shared" si="37"/>
        <v>4750155.9599999925</v>
      </c>
      <c r="AS97" s="12">
        <f t="shared" si="34"/>
        <v>72112.53</v>
      </c>
      <c r="AT97" s="12">
        <f t="shared" si="30"/>
        <v>72993.38</v>
      </c>
      <c r="AU97" s="12">
        <f t="shared" si="31"/>
        <v>9557.66</v>
      </c>
      <c r="AV97" s="18">
        <f t="shared" si="35"/>
        <v>6082.78</v>
      </c>
      <c r="AW97" s="17">
        <f t="shared" si="32"/>
        <v>9557.66</v>
      </c>
      <c r="AX97" s="12"/>
      <c r="AY97" s="12"/>
      <c r="AZ97" s="19"/>
      <c r="BA97" s="20"/>
      <c r="BB97" s="20"/>
      <c r="BC97" s="20"/>
      <c r="BD97" s="20"/>
    </row>
    <row r="98" spans="1:56" s="21" customFormat="1" ht="36" x14ac:dyDescent="0.25">
      <c r="A98" s="7"/>
      <c r="B98" s="7">
        <v>129</v>
      </c>
      <c r="C98" s="7" t="s">
        <v>235</v>
      </c>
      <c r="D98" s="7" t="s">
        <v>236</v>
      </c>
      <c r="E98" s="7" t="s">
        <v>237</v>
      </c>
      <c r="F98" s="34">
        <v>81</v>
      </c>
      <c r="G98" s="7">
        <v>306</v>
      </c>
      <c r="H98" s="9" t="str">
        <f t="shared" si="39"/>
        <v>Жилой комплекс Общежитие, Республики 81 - 306</v>
      </c>
      <c r="I98" s="10">
        <v>1</v>
      </c>
      <c r="J98" s="11">
        <v>4158611</v>
      </c>
      <c r="K98" s="11"/>
      <c r="L98" s="12">
        <v>3969477.6199999973</v>
      </c>
      <c r="M98" s="12">
        <f t="shared" si="38"/>
        <v>3969477.6199999973</v>
      </c>
      <c r="N98" s="10">
        <v>1</v>
      </c>
      <c r="O98" s="10">
        <v>26.6</v>
      </c>
      <c r="P98" s="10">
        <v>23.1</v>
      </c>
      <c r="Q98" s="10"/>
      <c r="R98" s="10"/>
      <c r="S98" s="10"/>
      <c r="T98" s="10"/>
      <c r="U98" s="127" t="s">
        <v>242</v>
      </c>
      <c r="V98" s="14" t="s">
        <v>56</v>
      </c>
      <c r="W98" s="7"/>
      <c r="X98" s="7"/>
      <c r="Y98" s="15"/>
      <c r="Z98" s="15">
        <v>19.3</v>
      </c>
      <c r="AA98" s="15" t="s">
        <v>89</v>
      </c>
      <c r="AB98" s="15">
        <f t="shared" si="22"/>
        <v>1.4</v>
      </c>
      <c r="AC98" s="16">
        <f t="shared" si="23"/>
        <v>27.02</v>
      </c>
      <c r="AD98" s="12">
        <f t="shared" si="24"/>
        <v>718.73</v>
      </c>
      <c r="AE98" s="15">
        <v>7798.58</v>
      </c>
      <c r="AF98" s="12">
        <f t="shared" si="25"/>
        <v>3969477.6199999973</v>
      </c>
      <c r="AG98" s="12">
        <f t="shared" si="26"/>
        <v>3961679.0399999972</v>
      </c>
      <c r="AH98" s="12">
        <f t="shared" si="27"/>
        <v>3953880.4599999972</v>
      </c>
      <c r="AI98" s="12">
        <f t="shared" si="28"/>
        <v>3946081.8799999971</v>
      </c>
      <c r="AJ98" s="12">
        <f t="shared" si="29"/>
        <v>3938283.299999997</v>
      </c>
      <c r="AK98" s="12">
        <f t="shared" si="37"/>
        <v>3930484.7199999969</v>
      </c>
      <c r="AL98" s="12">
        <f t="shared" si="37"/>
        <v>3922686.1399999969</v>
      </c>
      <c r="AM98" s="12">
        <f t="shared" si="37"/>
        <v>3914887.5599999968</v>
      </c>
      <c r="AN98" s="12">
        <f t="shared" si="37"/>
        <v>3907088.9799999967</v>
      </c>
      <c r="AO98" s="12">
        <f t="shared" si="37"/>
        <v>3899290.3999999966</v>
      </c>
      <c r="AP98" s="12">
        <f t="shared" si="37"/>
        <v>3891491.8199999966</v>
      </c>
      <c r="AQ98" s="12">
        <f t="shared" si="37"/>
        <v>3883693.2399999965</v>
      </c>
      <c r="AR98" s="17">
        <f t="shared" si="37"/>
        <v>3875894.6599999964</v>
      </c>
      <c r="AS98" s="12">
        <f t="shared" si="34"/>
        <v>58840.29</v>
      </c>
      <c r="AT98" s="12">
        <f t="shared" si="30"/>
        <v>59559.020000000004</v>
      </c>
      <c r="AU98" s="12">
        <f t="shared" si="31"/>
        <v>7798.58</v>
      </c>
      <c r="AV98" s="18">
        <f t="shared" si="35"/>
        <v>4963.25</v>
      </c>
      <c r="AW98" s="17">
        <f t="shared" si="32"/>
        <v>7798.58</v>
      </c>
      <c r="AX98" s="12"/>
      <c r="AY98" s="12"/>
      <c r="AZ98" s="19"/>
      <c r="BA98" s="45"/>
      <c r="BB98" s="20"/>
      <c r="BC98" s="20"/>
      <c r="BD98" s="20"/>
    </row>
    <row r="99" spans="1:56" s="21" customFormat="1" ht="36" x14ac:dyDescent="0.25">
      <c r="A99" s="7"/>
      <c r="B99" s="7">
        <v>130</v>
      </c>
      <c r="C99" s="7" t="s">
        <v>235</v>
      </c>
      <c r="D99" s="7" t="s">
        <v>236</v>
      </c>
      <c r="E99" s="7" t="s">
        <v>237</v>
      </c>
      <c r="F99" s="34">
        <v>81</v>
      </c>
      <c r="G99" s="7">
        <v>308</v>
      </c>
      <c r="H99" s="9" t="str">
        <f t="shared" si="39"/>
        <v>Жилой комплекс Общежитие, Республики 81 - 308</v>
      </c>
      <c r="I99" s="10">
        <v>1</v>
      </c>
      <c r="J99" s="11">
        <v>4314949</v>
      </c>
      <c r="K99" s="11"/>
      <c r="L99" s="12">
        <v>4118705.4000000078</v>
      </c>
      <c r="M99" s="12">
        <f t="shared" si="38"/>
        <v>4118705.4000000078</v>
      </c>
      <c r="N99" s="10">
        <v>1</v>
      </c>
      <c r="O99" s="10">
        <v>27.6</v>
      </c>
      <c r="P99" s="10">
        <v>23.7</v>
      </c>
      <c r="Q99" s="10"/>
      <c r="R99" s="10"/>
      <c r="S99" s="10"/>
      <c r="T99" s="10"/>
      <c r="U99" s="13" t="s">
        <v>243</v>
      </c>
      <c r="V99" s="14" t="s">
        <v>56</v>
      </c>
      <c r="W99" s="7"/>
      <c r="X99" s="7"/>
      <c r="Y99" s="15"/>
      <c r="Z99" s="15">
        <v>19.3</v>
      </c>
      <c r="AA99" s="15" t="s">
        <v>89</v>
      </c>
      <c r="AB99" s="15">
        <f t="shared" si="22"/>
        <v>1.4</v>
      </c>
      <c r="AC99" s="16">
        <f t="shared" si="23"/>
        <v>27.02</v>
      </c>
      <c r="AD99" s="12">
        <f t="shared" si="24"/>
        <v>745.75</v>
      </c>
      <c r="AE99" s="15">
        <v>8091.76</v>
      </c>
      <c r="AF99" s="12">
        <f t="shared" si="25"/>
        <v>4118705.4000000078</v>
      </c>
      <c r="AG99" s="12">
        <f t="shared" si="26"/>
        <v>4110613.640000008</v>
      </c>
      <c r="AH99" s="12">
        <f t="shared" si="27"/>
        <v>4102521.8800000083</v>
      </c>
      <c r="AI99" s="12">
        <f t="shared" si="28"/>
        <v>4094430.1200000085</v>
      </c>
      <c r="AJ99" s="12">
        <f t="shared" si="29"/>
        <v>4086338.3600000087</v>
      </c>
      <c r="AK99" s="12">
        <f t="shared" si="37"/>
        <v>4078246.6000000089</v>
      </c>
      <c r="AL99" s="12">
        <f t="shared" si="37"/>
        <v>4070154.8400000092</v>
      </c>
      <c r="AM99" s="12">
        <f t="shared" si="37"/>
        <v>4062063.0800000094</v>
      </c>
      <c r="AN99" s="12">
        <f t="shared" si="37"/>
        <v>4053971.3200000096</v>
      </c>
      <c r="AO99" s="12">
        <f t="shared" si="37"/>
        <v>4045879.5600000098</v>
      </c>
      <c r="AP99" s="12">
        <f t="shared" si="37"/>
        <v>4037787.8000000101</v>
      </c>
      <c r="AQ99" s="12">
        <f t="shared" si="37"/>
        <v>4029696.0400000103</v>
      </c>
      <c r="AR99" s="17">
        <f t="shared" si="37"/>
        <v>4021604.2800000105</v>
      </c>
      <c r="AS99" s="12">
        <f t="shared" si="34"/>
        <v>61052.32</v>
      </c>
      <c r="AT99" s="12">
        <f t="shared" si="30"/>
        <v>61798.07</v>
      </c>
      <c r="AU99" s="12">
        <f t="shared" si="31"/>
        <v>8091.76</v>
      </c>
      <c r="AV99" s="18">
        <f t="shared" si="35"/>
        <v>5149.84</v>
      </c>
      <c r="AW99" s="17">
        <f t="shared" si="32"/>
        <v>8091.76</v>
      </c>
      <c r="AX99" s="12"/>
      <c r="AY99" s="12"/>
      <c r="AZ99" s="19"/>
      <c r="BA99" s="20"/>
      <c r="BB99" s="20"/>
      <c r="BC99" s="20"/>
      <c r="BD99" s="20"/>
    </row>
    <row r="100" spans="1:56" s="21" customFormat="1" ht="36" x14ac:dyDescent="0.25">
      <c r="A100" s="7"/>
      <c r="B100" s="7">
        <v>131</v>
      </c>
      <c r="C100" s="7" t="s">
        <v>235</v>
      </c>
      <c r="D100" s="7" t="s">
        <v>236</v>
      </c>
      <c r="E100" s="7" t="s">
        <v>237</v>
      </c>
      <c r="F100" s="34">
        <v>81</v>
      </c>
      <c r="G100" s="7">
        <v>310</v>
      </c>
      <c r="H100" s="9" t="str">
        <f t="shared" si="39"/>
        <v>Жилой комплекс Общежитие, Республики 81 - 310</v>
      </c>
      <c r="I100" s="10">
        <v>1</v>
      </c>
      <c r="J100" s="11">
        <v>4299316</v>
      </c>
      <c r="K100" s="11"/>
      <c r="L100" s="12">
        <v>4103783.4199999906</v>
      </c>
      <c r="M100" s="12">
        <f t="shared" si="38"/>
        <v>4103783.4199999906</v>
      </c>
      <c r="N100" s="10">
        <v>1</v>
      </c>
      <c r="O100" s="10">
        <v>27.5</v>
      </c>
      <c r="P100" s="10">
        <v>23.7</v>
      </c>
      <c r="Q100" s="10"/>
      <c r="R100" s="10"/>
      <c r="S100" s="10"/>
      <c r="T100" s="10"/>
      <c r="U100" s="13" t="s">
        <v>244</v>
      </c>
      <c r="V100" s="14" t="s">
        <v>56</v>
      </c>
      <c r="W100" s="7"/>
      <c r="X100" s="7"/>
      <c r="Y100" s="15"/>
      <c r="Z100" s="15">
        <v>19.3</v>
      </c>
      <c r="AA100" s="15" t="s">
        <v>89</v>
      </c>
      <c r="AB100" s="15">
        <f t="shared" si="22"/>
        <v>1.4</v>
      </c>
      <c r="AC100" s="16">
        <f t="shared" si="23"/>
        <v>27.02</v>
      </c>
      <c r="AD100" s="12">
        <f t="shared" si="24"/>
        <v>743.05</v>
      </c>
      <c r="AE100" s="15">
        <v>8062.44</v>
      </c>
      <c r="AF100" s="12">
        <f t="shared" si="25"/>
        <v>4103783.4199999906</v>
      </c>
      <c r="AG100" s="12">
        <f t="shared" si="26"/>
        <v>4095720.9799999907</v>
      </c>
      <c r="AH100" s="12">
        <f t="shared" si="27"/>
        <v>4087658.5399999907</v>
      </c>
      <c r="AI100" s="12">
        <f t="shared" si="28"/>
        <v>4079596.0999999908</v>
      </c>
      <c r="AJ100" s="12">
        <f t="shared" si="29"/>
        <v>4071533.6599999908</v>
      </c>
      <c r="AK100" s="12">
        <f t="shared" ref="AK100:AR116" si="40">AJ100-$AE100</f>
        <v>4063471.2199999909</v>
      </c>
      <c r="AL100" s="12">
        <f t="shared" si="40"/>
        <v>4055408.7799999909</v>
      </c>
      <c r="AM100" s="12">
        <f t="shared" si="40"/>
        <v>4047346.339999991</v>
      </c>
      <c r="AN100" s="12">
        <f t="shared" si="40"/>
        <v>4039283.8999999911</v>
      </c>
      <c r="AO100" s="12">
        <f t="shared" si="40"/>
        <v>4031221.4599999911</v>
      </c>
      <c r="AP100" s="12">
        <f t="shared" si="40"/>
        <v>4023159.0199999912</v>
      </c>
      <c r="AQ100" s="12">
        <f t="shared" si="40"/>
        <v>4015096.5799999912</v>
      </c>
      <c r="AR100" s="17">
        <f t="shared" si="40"/>
        <v>4007034.1399999913</v>
      </c>
      <c r="AS100" s="12">
        <f t="shared" si="34"/>
        <v>60831.13</v>
      </c>
      <c r="AT100" s="12">
        <f t="shared" si="30"/>
        <v>61574.18</v>
      </c>
      <c r="AU100" s="12">
        <f t="shared" si="31"/>
        <v>8062.44</v>
      </c>
      <c r="AV100" s="18">
        <f t="shared" si="35"/>
        <v>5131.18</v>
      </c>
      <c r="AW100" s="17">
        <f t="shared" si="32"/>
        <v>8062.44</v>
      </c>
      <c r="AX100" s="12"/>
      <c r="AY100" s="12"/>
      <c r="AZ100" s="19"/>
      <c r="BA100" s="20"/>
      <c r="BB100" s="20"/>
      <c r="BC100" s="20"/>
      <c r="BD100" s="20"/>
    </row>
    <row r="101" spans="1:56" s="21" customFormat="1" ht="36" x14ac:dyDescent="0.25">
      <c r="A101" s="7"/>
      <c r="B101" s="7">
        <v>132</v>
      </c>
      <c r="C101" s="7" t="s">
        <v>235</v>
      </c>
      <c r="D101" s="7" t="s">
        <v>236</v>
      </c>
      <c r="E101" s="7" t="s">
        <v>237</v>
      </c>
      <c r="F101" s="34">
        <v>81</v>
      </c>
      <c r="G101" s="7">
        <v>311</v>
      </c>
      <c r="H101" s="9" t="str">
        <f t="shared" si="39"/>
        <v>Жилой комплекс Общежитие, Республики 81 - 311</v>
      </c>
      <c r="I101" s="10">
        <v>1</v>
      </c>
      <c r="J101" s="11">
        <v>4252414</v>
      </c>
      <c r="K101" s="11"/>
      <c r="L101" s="12">
        <v>4059014.2499999916</v>
      </c>
      <c r="M101" s="12">
        <f t="shared" si="38"/>
        <v>4059014.2499999916</v>
      </c>
      <c r="N101" s="10">
        <v>1</v>
      </c>
      <c r="O101" s="10">
        <v>27.2</v>
      </c>
      <c r="P101" s="10">
        <v>23.4</v>
      </c>
      <c r="Q101" s="10"/>
      <c r="R101" s="10"/>
      <c r="S101" s="10"/>
      <c r="T101" s="10"/>
      <c r="U101" s="127" t="s">
        <v>245</v>
      </c>
      <c r="V101" s="14" t="s">
        <v>56</v>
      </c>
      <c r="W101" s="7"/>
      <c r="X101" s="7"/>
      <c r="Y101" s="15"/>
      <c r="Z101" s="15">
        <v>19.3</v>
      </c>
      <c r="AA101" s="15" t="s">
        <v>89</v>
      </c>
      <c r="AB101" s="15">
        <f t="shared" si="22"/>
        <v>1.4</v>
      </c>
      <c r="AC101" s="16">
        <f t="shared" si="23"/>
        <v>27.02</v>
      </c>
      <c r="AD101" s="12">
        <f t="shared" si="24"/>
        <v>734.94</v>
      </c>
      <c r="AE101" s="15">
        <v>7974.49</v>
      </c>
      <c r="AF101" s="12">
        <f t="shared" si="25"/>
        <v>4059014.2499999916</v>
      </c>
      <c r="AG101" s="12">
        <f t="shared" si="26"/>
        <v>4051039.7599999914</v>
      </c>
      <c r="AH101" s="12">
        <f t="shared" si="27"/>
        <v>4043065.2699999912</v>
      </c>
      <c r="AI101" s="12">
        <f t="shared" si="28"/>
        <v>4035090.7799999909</v>
      </c>
      <c r="AJ101" s="12">
        <f t="shared" si="29"/>
        <v>4027116.2899999907</v>
      </c>
      <c r="AK101" s="12">
        <f t="shared" si="40"/>
        <v>4019141.7999999905</v>
      </c>
      <c r="AL101" s="12">
        <f t="shared" si="40"/>
        <v>4011167.3099999903</v>
      </c>
      <c r="AM101" s="12">
        <f t="shared" si="40"/>
        <v>4003192.8199999901</v>
      </c>
      <c r="AN101" s="12">
        <f t="shared" si="40"/>
        <v>3995218.3299999898</v>
      </c>
      <c r="AO101" s="12">
        <f t="shared" si="40"/>
        <v>3987243.8399999896</v>
      </c>
      <c r="AP101" s="12">
        <f t="shared" si="40"/>
        <v>3979269.3499999894</v>
      </c>
      <c r="AQ101" s="12">
        <f t="shared" si="40"/>
        <v>3971294.8599999892</v>
      </c>
      <c r="AR101" s="17">
        <f t="shared" si="40"/>
        <v>3963320.3699999889</v>
      </c>
      <c r="AS101" s="12">
        <f t="shared" si="34"/>
        <v>60167.51</v>
      </c>
      <c r="AT101" s="12">
        <f t="shared" si="30"/>
        <v>60902.450000000004</v>
      </c>
      <c r="AU101" s="12">
        <f t="shared" si="31"/>
        <v>7974.49</v>
      </c>
      <c r="AV101" s="18">
        <f t="shared" si="35"/>
        <v>5075.2</v>
      </c>
      <c r="AW101" s="17">
        <f t="shared" si="32"/>
        <v>7974.49</v>
      </c>
      <c r="AX101" s="12"/>
      <c r="AY101" s="12"/>
      <c r="AZ101" s="19"/>
      <c r="BA101" s="45"/>
      <c r="BB101" s="20"/>
      <c r="BC101" s="20"/>
      <c r="BD101" s="20"/>
    </row>
    <row r="102" spans="1:56" s="21" customFormat="1" ht="36" x14ac:dyDescent="0.25">
      <c r="A102" s="7"/>
      <c r="B102" s="7">
        <v>133</v>
      </c>
      <c r="C102" s="7" t="s">
        <v>235</v>
      </c>
      <c r="D102" s="7" t="s">
        <v>236</v>
      </c>
      <c r="E102" s="7" t="s">
        <v>237</v>
      </c>
      <c r="F102" s="34">
        <v>81</v>
      </c>
      <c r="G102" s="7">
        <v>312</v>
      </c>
      <c r="H102" s="9" t="str">
        <f t="shared" si="39"/>
        <v>Жилой комплекс Общежитие, Республики 81 - 312</v>
      </c>
      <c r="I102" s="10">
        <v>1</v>
      </c>
      <c r="J102" s="11">
        <f>4096075/26.2*O102</f>
        <v>4096075</v>
      </c>
      <c r="K102" s="11"/>
      <c r="L102" s="12">
        <v>3909785.7099999981</v>
      </c>
      <c r="M102" s="12">
        <f t="shared" si="38"/>
        <v>3909785.7099999981</v>
      </c>
      <c r="N102" s="10">
        <v>1</v>
      </c>
      <c r="O102" s="10">
        <f>26.2</f>
        <v>26.2</v>
      </c>
      <c r="P102" s="10">
        <v>26.2</v>
      </c>
      <c r="Q102" s="10"/>
      <c r="R102" s="10"/>
      <c r="S102" s="10"/>
      <c r="T102" s="10"/>
      <c r="U102" s="127" t="s">
        <v>246</v>
      </c>
      <c r="V102" s="14" t="s">
        <v>56</v>
      </c>
      <c r="W102" s="7"/>
      <c r="X102" s="7"/>
      <c r="Y102" s="15"/>
      <c r="Z102" s="15">
        <v>19.3</v>
      </c>
      <c r="AA102" s="15" t="s">
        <v>89</v>
      </c>
      <c r="AB102" s="15">
        <f t="shared" si="22"/>
        <v>1.4</v>
      </c>
      <c r="AC102" s="16">
        <f t="shared" si="23"/>
        <v>27.02</v>
      </c>
      <c r="AD102" s="12">
        <f t="shared" si="24"/>
        <v>707.92</v>
      </c>
      <c r="AE102" s="15">
        <v>7681.31</v>
      </c>
      <c r="AF102" s="12">
        <f t="shared" si="25"/>
        <v>3909785.7099999981</v>
      </c>
      <c r="AG102" s="12">
        <f t="shared" si="26"/>
        <v>3902104.399999998</v>
      </c>
      <c r="AH102" s="12">
        <f t="shared" si="27"/>
        <v>3894423.089999998</v>
      </c>
      <c r="AI102" s="12">
        <f t="shared" si="28"/>
        <v>3886741.7799999979</v>
      </c>
      <c r="AJ102" s="12">
        <f t="shared" si="29"/>
        <v>3879060.4699999979</v>
      </c>
      <c r="AK102" s="12">
        <f t="shared" si="40"/>
        <v>3871379.1599999978</v>
      </c>
      <c r="AL102" s="12">
        <f t="shared" si="40"/>
        <v>3863697.8499999978</v>
      </c>
      <c r="AM102" s="12">
        <f t="shared" si="40"/>
        <v>3856016.5399999977</v>
      </c>
      <c r="AN102" s="12">
        <f t="shared" si="40"/>
        <v>3848335.2299999977</v>
      </c>
      <c r="AO102" s="12">
        <f t="shared" si="40"/>
        <v>3840653.9199999976</v>
      </c>
      <c r="AP102" s="12">
        <f t="shared" si="40"/>
        <v>3832972.6099999975</v>
      </c>
      <c r="AQ102" s="12">
        <f t="shared" si="40"/>
        <v>3825291.2999999975</v>
      </c>
      <c r="AR102" s="17">
        <f t="shared" si="40"/>
        <v>3817609.9899999974</v>
      </c>
      <c r="AS102" s="12">
        <f t="shared" si="34"/>
        <v>57955.47</v>
      </c>
      <c r="AT102" s="12">
        <f t="shared" si="30"/>
        <v>58663.39</v>
      </c>
      <c r="AU102" s="12">
        <f t="shared" si="31"/>
        <v>7681.31</v>
      </c>
      <c r="AV102" s="18">
        <f t="shared" si="35"/>
        <v>4888.62</v>
      </c>
      <c r="AW102" s="17">
        <f t="shared" si="32"/>
        <v>7681.31</v>
      </c>
      <c r="AX102" s="12"/>
      <c r="AY102" s="12"/>
      <c r="AZ102" s="19"/>
      <c r="BA102" s="20"/>
      <c r="BB102" s="20"/>
      <c r="BC102" s="20"/>
      <c r="BD102" s="20"/>
    </row>
    <row r="103" spans="1:56" s="21" customFormat="1" ht="36" x14ac:dyDescent="0.25">
      <c r="A103" s="90"/>
      <c r="B103" s="90"/>
      <c r="C103" s="90" t="s">
        <v>235</v>
      </c>
      <c r="D103" s="90" t="s">
        <v>236</v>
      </c>
      <c r="E103" s="90" t="s">
        <v>237</v>
      </c>
      <c r="F103" s="91">
        <v>81</v>
      </c>
      <c r="G103" s="90">
        <v>315</v>
      </c>
      <c r="H103" s="90" t="str">
        <f t="shared" si="39"/>
        <v>Жилой комплекс Общежитие, Республики 81 - 315</v>
      </c>
      <c r="I103" s="89">
        <v>1</v>
      </c>
      <c r="J103" s="93">
        <v>4268048</v>
      </c>
      <c r="K103" s="93"/>
      <c r="L103" s="94">
        <v>3851653.08</v>
      </c>
      <c r="M103" s="94">
        <f t="shared" si="38"/>
        <v>3851653.08</v>
      </c>
      <c r="N103" s="89">
        <v>1</v>
      </c>
      <c r="O103" s="89">
        <v>27.5</v>
      </c>
      <c r="P103" s="89">
        <v>18.2</v>
      </c>
      <c r="Q103" s="89"/>
      <c r="R103" s="89"/>
      <c r="S103" s="89"/>
      <c r="T103" s="89"/>
      <c r="U103" s="128" t="s">
        <v>247</v>
      </c>
      <c r="V103" s="98" t="s">
        <v>56</v>
      </c>
      <c r="W103" s="90"/>
      <c r="X103" s="90"/>
      <c r="Y103" s="99"/>
      <c r="Z103" s="99">
        <v>19.3</v>
      </c>
      <c r="AA103" s="99" t="s">
        <v>89</v>
      </c>
      <c r="AB103" s="99">
        <f t="shared" si="22"/>
        <v>1.4</v>
      </c>
      <c r="AC103" s="100">
        <f t="shared" si="23"/>
        <v>27.02</v>
      </c>
      <c r="AD103" s="94">
        <f t="shared" si="24"/>
        <v>743.05</v>
      </c>
      <c r="AE103" s="99">
        <v>104098.73</v>
      </c>
      <c r="AF103" s="94">
        <f t="shared" si="25"/>
        <v>3851653.08</v>
      </c>
      <c r="AG103" s="94">
        <f t="shared" si="26"/>
        <v>3747554.35</v>
      </c>
      <c r="AH103" s="94">
        <f t="shared" si="27"/>
        <v>3643455.62</v>
      </c>
      <c r="AI103" s="94">
        <f t="shared" si="28"/>
        <v>3539356.89</v>
      </c>
      <c r="AJ103" s="94">
        <f t="shared" si="29"/>
        <v>3435258.16</v>
      </c>
      <c r="AK103" s="94">
        <f t="shared" si="40"/>
        <v>3331159.43</v>
      </c>
      <c r="AL103" s="94">
        <f t="shared" si="40"/>
        <v>3227060.7</v>
      </c>
      <c r="AM103" s="94">
        <f t="shared" si="40"/>
        <v>3122961.97</v>
      </c>
      <c r="AN103" s="94">
        <f t="shared" si="40"/>
        <v>3018863.24</v>
      </c>
      <c r="AO103" s="94">
        <f t="shared" si="40"/>
        <v>2914764.5100000002</v>
      </c>
      <c r="AP103" s="94">
        <f t="shared" si="40"/>
        <v>2810665.7800000003</v>
      </c>
      <c r="AQ103" s="94">
        <f t="shared" si="40"/>
        <v>2706567.0500000003</v>
      </c>
      <c r="AR103" s="94">
        <f t="shared" si="40"/>
        <v>2602468.3200000003</v>
      </c>
      <c r="AS103" s="94">
        <f t="shared" si="34"/>
        <v>48405.91</v>
      </c>
      <c r="AT103" s="94">
        <f t="shared" si="30"/>
        <v>49148.960000000006</v>
      </c>
      <c r="AU103" s="94">
        <f t="shared" si="31"/>
        <v>104098.73</v>
      </c>
      <c r="AV103" s="101">
        <f t="shared" si="35"/>
        <v>4095.75</v>
      </c>
      <c r="AW103" s="94">
        <f t="shared" si="32"/>
        <v>104098.73</v>
      </c>
      <c r="AX103" s="94"/>
      <c r="AY103" s="94"/>
      <c r="AZ103" s="102"/>
      <c r="BA103" s="103"/>
      <c r="BB103" s="103"/>
      <c r="BC103" s="103"/>
      <c r="BD103" s="103"/>
    </row>
    <row r="104" spans="1:56" s="21" customFormat="1" ht="36" x14ac:dyDescent="0.25">
      <c r="A104" s="7"/>
      <c r="B104" s="7">
        <v>135</v>
      </c>
      <c r="C104" s="7" t="s">
        <v>235</v>
      </c>
      <c r="D104" s="7" t="s">
        <v>236</v>
      </c>
      <c r="E104" s="7" t="s">
        <v>237</v>
      </c>
      <c r="F104" s="34">
        <v>81</v>
      </c>
      <c r="G104" s="7">
        <v>316</v>
      </c>
      <c r="H104" s="9" t="str">
        <f t="shared" si="39"/>
        <v>Жилой комплекс Общежитие, Республики 81 - 316</v>
      </c>
      <c r="I104" s="10">
        <v>1</v>
      </c>
      <c r="J104" s="11">
        <v>4189878</v>
      </c>
      <c r="K104" s="11"/>
      <c r="L104" s="12">
        <v>3999322.3399999975</v>
      </c>
      <c r="M104" s="12">
        <f t="shared" si="38"/>
        <v>3999322.3399999975</v>
      </c>
      <c r="N104" s="10">
        <v>1</v>
      </c>
      <c r="O104" s="10">
        <v>26.8</v>
      </c>
      <c r="P104" s="10">
        <v>23.2</v>
      </c>
      <c r="Q104" s="10"/>
      <c r="R104" s="129"/>
      <c r="S104" s="129"/>
      <c r="T104" s="129"/>
      <c r="U104" s="13" t="s">
        <v>248</v>
      </c>
      <c r="V104" s="10" t="s">
        <v>56</v>
      </c>
      <c r="W104" s="7"/>
      <c r="X104" s="7"/>
      <c r="Y104" s="15"/>
      <c r="Z104" s="15">
        <v>19.3</v>
      </c>
      <c r="AA104" s="15" t="s">
        <v>89</v>
      </c>
      <c r="AB104" s="15">
        <f t="shared" si="22"/>
        <v>1.4</v>
      </c>
      <c r="AC104" s="16">
        <f t="shared" si="23"/>
        <v>27.02</v>
      </c>
      <c r="AD104" s="12">
        <f t="shared" si="24"/>
        <v>724.14</v>
      </c>
      <c r="AE104" s="15">
        <v>7857.22</v>
      </c>
      <c r="AF104" s="12">
        <f t="shared" si="25"/>
        <v>3999322.3399999975</v>
      </c>
      <c r="AG104" s="12">
        <f t="shared" si="26"/>
        <v>3991465.1199999973</v>
      </c>
      <c r="AH104" s="12">
        <f t="shared" si="27"/>
        <v>3983607.8999999971</v>
      </c>
      <c r="AI104" s="12">
        <f t="shared" si="28"/>
        <v>3975750.6799999969</v>
      </c>
      <c r="AJ104" s="12">
        <f t="shared" si="29"/>
        <v>3967893.4599999967</v>
      </c>
      <c r="AK104" s="12">
        <f t="shared" si="40"/>
        <v>3960036.2399999965</v>
      </c>
      <c r="AL104" s="12">
        <f t="shared" si="40"/>
        <v>3952179.0199999963</v>
      </c>
      <c r="AM104" s="12">
        <f t="shared" si="40"/>
        <v>3944321.7999999961</v>
      </c>
      <c r="AN104" s="12">
        <f t="shared" si="40"/>
        <v>3936464.5799999959</v>
      </c>
      <c r="AO104" s="12">
        <f t="shared" si="40"/>
        <v>3928607.3599999957</v>
      </c>
      <c r="AP104" s="12">
        <f t="shared" si="40"/>
        <v>3920750.1399999955</v>
      </c>
      <c r="AQ104" s="12">
        <f t="shared" si="40"/>
        <v>3912892.9199999953</v>
      </c>
      <c r="AR104" s="17">
        <f t="shared" si="40"/>
        <v>3905035.6999999951</v>
      </c>
      <c r="AS104" s="12">
        <f t="shared" si="34"/>
        <v>59282.69</v>
      </c>
      <c r="AT104" s="12">
        <f t="shared" si="30"/>
        <v>60006.83</v>
      </c>
      <c r="AU104" s="12">
        <f t="shared" si="31"/>
        <v>7857.22</v>
      </c>
      <c r="AV104" s="18">
        <f t="shared" si="35"/>
        <v>5000.57</v>
      </c>
      <c r="AW104" s="17">
        <f t="shared" si="32"/>
        <v>7857.22</v>
      </c>
      <c r="AX104" s="12"/>
      <c r="AY104" s="12"/>
      <c r="AZ104" s="19"/>
      <c r="BA104" s="20"/>
      <c r="BB104" s="20"/>
      <c r="BC104" s="20"/>
      <c r="BD104" s="20"/>
    </row>
    <row r="105" spans="1:56" s="21" customFormat="1" ht="36" x14ac:dyDescent="0.25">
      <c r="A105" s="7"/>
      <c r="B105" s="7">
        <v>136</v>
      </c>
      <c r="C105" s="7" t="s">
        <v>235</v>
      </c>
      <c r="D105" s="7" t="s">
        <v>236</v>
      </c>
      <c r="E105" s="7" t="s">
        <v>237</v>
      </c>
      <c r="F105" s="34">
        <v>81</v>
      </c>
      <c r="G105" s="7">
        <v>317</v>
      </c>
      <c r="H105" s="9" t="str">
        <f t="shared" si="39"/>
        <v>Жилой комплекс Общежитие, Республики 81 - 317</v>
      </c>
      <c r="I105" s="10">
        <v>1</v>
      </c>
      <c r="J105" s="11">
        <v>4283682</v>
      </c>
      <c r="K105" s="11"/>
      <c r="L105" s="12">
        <v>4088860.679999996</v>
      </c>
      <c r="M105" s="12">
        <f t="shared" si="38"/>
        <v>4088860.679999996</v>
      </c>
      <c r="N105" s="10">
        <v>1</v>
      </c>
      <c r="O105" s="10">
        <f>27.4</f>
        <v>27.4</v>
      </c>
      <c r="P105" s="10">
        <v>23.8</v>
      </c>
      <c r="Q105" s="10"/>
      <c r="R105" s="10"/>
      <c r="S105" s="10"/>
      <c r="T105" s="10"/>
      <c r="U105" s="127" t="s">
        <v>249</v>
      </c>
      <c r="V105" s="14" t="s">
        <v>56</v>
      </c>
      <c r="W105" s="7"/>
      <c r="X105" s="7"/>
      <c r="Y105" s="15"/>
      <c r="Z105" s="15">
        <v>19.3</v>
      </c>
      <c r="AA105" s="15" t="s">
        <v>89</v>
      </c>
      <c r="AB105" s="15">
        <f t="shared" si="22"/>
        <v>1.4</v>
      </c>
      <c r="AC105" s="16">
        <f t="shared" si="23"/>
        <v>27.02</v>
      </c>
      <c r="AD105" s="12">
        <f t="shared" si="24"/>
        <v>740.35</v>
      </c>
      <c r="AE105" s="15">
        <v>8033.12</v>
      </c>
      <c r="AF105" s="12">
        <f t="shared" si="25"/>
        <v>4088860.679999996</v>
      </c>
      <c r="AG105" s="12">
        <f t="shared" si="26"/>
        <v>4080827.5599999959</v>
      </c>
      <c r="AH105" s="12">
        <f t="shared" si="27"/>
        <v>4072794.4399999958</v>
      </c>
      <c r="AI105" s="12">
        <f t="shared" si="28"/>
        <v>4064761.3199999956</v>
      </c>
      <c r="AJ105" s="12">
        <f t="shared" si="29"/>
        <v>4056728.1999999955</v>
      </c>
      <c r="AK105" s="12">
        <f t="shared" si="40"/>
        <v>4048695.0799999954</v>
      </c>
      <c r="AL105" s="12">
        <f t="shared" si="40"/>
        <v>4040661.9599999953</v>
      </c>
      <c r="AM105" s="12">
        <f t="shared" si="40"/>
        <v>4032628.8399999952</v>
      </c>
      <c r="AN105" s="12">
        <f t="shared" si="40"/>
        <v>4024595.7199999951</v>
      </c>
      <c r="AO105" s="12">
        <f t="shared" si="40"/>
        <v>4016562.599999995</v>
      </c>
      <c r="AP105" s="12">
        <f t="shared" si="40"/>
        <v>4008529.4799999949</v>
      </c>
      <c r="AQ105" s="12">
        <f t="shared" si="40"/>
        <v>4000496.3599999947</v>
      </c>
      <c r="AR105" s="17">
        <f t="shared" si="40"/>
        <v>3992463.2399999946</v>
      </c>
      <c r="AS105" s="12">
        <f t="shared" si="34"/>
        <v>60609.93</v>
      </c>
      <c r="AT105" s="12">
        <f t="shared" si="30"/>
        <v>61350.28</v>
      </c>
      <c r="AU105" s="12">
        <f t="shared" si="31"/>
        <v>8033.12</v>
      </c>
      <c r="AV105" s="18">
        <f t="shared" si="35"/>
        <v>5112.5200000000004</v>
      </c>
      <c r="AW105" s="17">
        <f t="shared" si="32"/>
        <v>8033.12</v>
      </c>
      <c r="AX105" s="12"/>
      <c r="AY105" s="11"/>
      <c r="AZ105" s="19"/>
      <c r="BA105" s="20"/>
      <c r="BB105" s="20"/>
      <c r="BC105" s="20"/>
      <c r="BD105" s="20"/>
    </row>
    <row r="106" spans="1:56" s="21" customFormat="1" ht="36" x14ac:dyDescent="0.25">
      <c r="A106" s="7"/>
      <c r="B106" s="7">
        <v>138</v>
      </c>
      <c r="C106" s="7" t="s">
        <v>235</v>
      </c>
      <c r="D106" s="7" t="s">
        <v>236</v>
      </c>
      <c r="E106" s="7" t="s">
        <v>237</v>
      </c>
      <c r="F106" s="34">
        <v>81</v>
      </c>
      <c r="G106" s="7">
        <v>325</v>
      </c>
      <c r="H106" s="9" t="str">
        <f t="shared" si="39"/>
        <v>Жилой комплекс Общежитие, Республики 81 - 325</v>
      </c>
      <c r="I106" s="10">
        <v>1</v>
      </c>
      <c r="J106" s="11">
        <v>4236780</v>
      </c>
      <c r="K106" s="11"/>
      <c r="L106" s="12">
        <v>4044091.5100000026</v>
      </c>
      <c r="M106" s="12">
        <f t="shared" si="38"/>
        <v>4044091.5100000026</v>
      </c>
      <c r="N106" s="10">
        <v>1</v>
      </c>
      <c r="O106" s="10">
        <v>27.1</v>
      </c>
      <c r="P106" s="10">
        <v>23.7</v>
      </c>
      <c r="Q106" s="10"/>
      <c r="R106" s="10"/>
      <c r="S106" s="10"/>
      <c r="T106" s="10"/>
      <c r="U106" s="127" t="s">
        <v>250</v>
      </c>
      <c r="V106" s="14" t="s">
        <v>56</v>
      </c>
      <c r="W106" s="7"/>
      <c r="X106" s="7"/>
      <c r="Y106" s="15"/>
      <c r="Z106" s="15">
        <v>19.3</v>
      </c>
      <c r="AA106" s="15" t="s">
        <v>89</v>
      </c>
      <c r="AB106" s="15">
        <f t="shared" si="22"/>
        <v>1.4</v>
      </c>
      <c r="AC106" s="16">
        <f t="shared" si="23"/>
        <v>27.02</v>
      </c>
      <c r="AD106" s="12">
        <f t="shared" si="24"/>
        <v>732.24</v>
      </c>
      <c r="AE106" s="15">
        <v>7945.17</v>
      </c>
      <c r="AF106" s="12">
        <f t="shared" si="25"/>
        <v>4044091.5100000026</v>
      </c>
      <c r="AG106" s="12">
        <f t="shared" si="26"/>
        <v>4036146.3400000026</v>
      </c>
      <c r="AH106" s="12">
        <f t="shared" si="27"/>
        <v>4028201.1700000027</v>
      </c>
      <c r="AI106" s="12">
        <f t="shared" si="28"/>
        <v>4020256.0000000028</v>
      </c>
      <c r="AJ106" s="12">
        <f t="shared" si="29"/>
        <v>4012310.8300000029</v>
      </c>
      <c r="AK106" s="12">
        <f t="shared" si="40"/>
        <v>4004365.6600000029</v>
      </c>
      <c r="AL106" s="12">
        <f t="shared" si="40"/>
        <v>3996420.490000003</v>
      </c>
      <c r="AM106" s="12">
        <f t="shared" si="40"/>
        <v>3988475.3200000031</v>
      </c>
      <c r="AN106" s="12">
        <f t="shared" si="40"/>
        <v>3980530.1500000032</v>
      </c>
      <c r="AO106" s="12">
        <f t="shared" si="40"/>
        <v>3972584.9800000032</v>
      </c>
      <c r="AP106" s="12">
        <f t="shared" si="40"/>
        <v>3964639.8100000033</v>
      </c>
      <c r="AQ106" s="12">
        <f t="shared" si="40"/>
        <v>3956694.6400000034</v>
      </c>
      <c r="AR106" s="17">
        <f t="shared" si="40"/>
        <v>3948749.4700000035</v>
      </c>
      <c r="AS106" s="12">
        <f t="shared" si="34"/>
        <v>59946.31</v>
      </c>
      <c r="AT106" s="12">
        <f t="shared" si="30"/>
        <v>60678.549999999996</v>
      </c>
      <c r="AU106" s="12">
        <f t="shared" si="31"/>
        <v>7945.17</v>
      </c>
      <c r="AV106" s="18">
        <f t="shared" si="35"/>
        <v>5056.55</v>
      </c>
      <c r="AW106" s="17">
        <f t="shared" si="32"/>
        <v>7945.17</v>
      </c>
      <c r="AX106" s="12"/>
      <c r="AY106" s="12"/>
      <c r="AZ106" s="19"/>
      <c r="BA106" s="20"/>
      <c r="BB106" s="20"/>
      <c r="BC106" s="20"/>
      <c r="BD106" s="20"/>
    </row>
    <row r="107" spans="1:56" s="21" customFormat="1" ht="36" x14ac:dyDescent="0.25">
      <c r="A107" s="7"/>
      <c r="B107" s="7">
        <v>139</v>
      </c>
      <c r="C107" s="7" t="s">
        <v>235</v>
      </c>
      <c r="D107" s="7" t="s">
        <v>236</v>
      </c>
      <c r="E107" s="7" t="s">
        <v>237</v>
      </c>
      <c r="F107" s="34">
        <v>81</v>
      </c>
      <c r="G107" s="7">
        <v>326</v>
      </c>
      <c r="H107" s="9" t="str">
        <f t="shared" si="39"/>
        <v>Жилой комплекс Общежитие, Республики 81 - 326</v>
      </c>
      <c r="I107" s="10">
        <v>1</v>
      </c>
      <c r="J107" s="11">
        <v>4283682</v>
      </c>
      <c r="K107" s="11"/>
      <c r="L107" s="12">
        <v>4088860.679999996</v>
      </c>
      <c r="M107" s="12">
        <f t="shared" si="38"/>
        <v>4088860.679999996</v>
      </c>
      <c r="N107" s="10">
        <v>1</v>
      </c>
      <c r="O107" s="10">
        <v>27.4</v>
      </c>
      <c r="P107" s="10">
        <v>23.8</v>
      </c>
      <c r="Q107" s="10"/>
      <c r="R107" s="10"/>
      <c r="S107" s="10"/>
      <c r="T107" s="10"/>
      <c r="U107" s="127" t="s">
        <v>251</v>
      </c>
      <c r="V107" s="14" t="s">
        <v>56</v>
      </c>
      <c r="W107" s="7"/>
      <c r="X107" s="7"/>
      <c r="Y107" s="15"/>
      <c r="Z107" s="15">
        <v>19.3</v>
      </c>
      <c r="AA107" s="15" t="s">
        <v>89</v>
      </c>
      <c r="AB107" s="15">
        <f t="shared" si="22"/>
        <v>1.4</v>
      </c>
      <c r="AC107" s="16">
        <f t="shared" si="23"/>
        <v>27.02</v>
      </c>
      <c r="AD107" s="12">
        <f t="shared" si="24"/>
        <v>740.35</v>
      </c>
      <c r="AE107" s="15">
        <v>8033.12</v>
      </c>
      <c r="AF107" s="12">
        <f t="shared" si="25"/>
        <v>4088860.679999996</v>
      </c>
      <c r="AG107" s="12">
        <f t="shared" si="26"/>
        <v>4080827.5599999959</v>
      </c>
      <c r="AH107" s="12">
        <f t="shared" si="27"/>
        <v>4072794.4399999958</v>
      </c>
      <c r="AI107" s="12">
        <f t="shared" si="28"/>
        <v>4064761.3199999956</v>
      </c>
      <c r="AJ107" s="12">
        <f t="shared" si="29"/>
        <v>4056728.1999999955</v>
      </c>
      <c r="AK107" s="12">
        <f t="shared" si="40"/>
        <v>4048695.0799999954</v>
      </c>
      <c r="AL107" s="12">
        <f t="shared" si="40"/>
        <v>4040661.9599999953</v>
      </c>
      <c r="AM107" s="12">
        <f t="shared" si="40"/>
        <v>4032628.8399999952</v>
      </c>
      <c r="AN107" s="12">
        <f t="shared" si="40"/>
        <v>4024595.7199999951</v>
      </c>
      <c r="AO107" s="12">
        <f t="shared" si="40"/>
        <v>4016562.599999995</v>
      </c>
      <c r="AP107" s="12">
        <f t="shared" si="40"/>
        <v>4008529.4799999949</v>
      </c>
      <c r="AQ107" s="12">
        <f t="shared" si="40"/>
        <v>4000496.3599999947</v>
      </c>
      <c r="AR107" s="17">
        <f t="shared" si="40"/>
        <v>3992463.2399999946</v>
      </c>
      <c r="AS107" s="12">
        <f t="shared" si="34"/>
        <v>60609.93</v>
      </c>
      <c r="AT107" s="12">
        <f t="shared" si="30"/>
        <v>61350.28</v>
      </c>
      <c r="AU107" s="12">
        <f t="shared" si="31"/>
        <v>8033.12</v>
      </c>
      <c r="AV107" s="18">
        <f t="shared" si="35"/>
        <v>5112.5200000000004</v>
      </c>
      <c r="AW107" s="17">
        <f t="shared" si="32"/>
        <v>8033.12</v>
      </c>
      <c r="AX107" s="12"/>
      <c r="AY107" s="12"/>
      <c r="AZ107" s="19"/>
      <c r="BA107" s="20"/>
      <c r="BB107" s="20"/>
      <c r="BC107" s="20"/>
      <c r="BD107" s="20"/>
    </row>
    <row r="108" spans="1:56" s="21" customFormat="1" ht="36" x14ac:dyDescent="0.25">
      <c r="A108" s="7"/>
      <c r="B108" s="7">
        <v>140</v>
      </c>
      <c r="C108" s="7" t="s">
        <v>235</v>
      </c>
      <c r="D108" s="7" t="s">
        <v>236</v>
      </c>
      <c r="E108" s="7" t="s">
        <v>237</v>
      </c>
      <c r="F108" s="34">
        <v>81</v>
      </c>
      <c r="G108" s="7">
        <v>327</v>
      </c>
      <c r="H108" s="9" t="str">
        <f t="shared" si="39"/>
        <v>Жилой комплекс Общежитие, Республики 81 - 327</v>
      </c>
      <c r="I108" s="10">
        <v>1</v>
      </c>
      <c r="J108" s="11">
        <v>4189878</v>
      </c>
      <c r="K108" s="11"/>
      <c r="L108" s="12">
        <v>3999322.3299999977</v>
      </c>
      <c r="M108" s="12">
        <f t="shared" si="38"/>
        <v>3999322.3299999977</v>
      </c>
      <c r="N108" s="10">
        <v>1</v>
      </c>
      <c r="O108" s="10">
        <v>26.8</v>
      </c>
      <c r="P108" s="10">
        <v>15</v>
      </c>
      <c r="Q108" s="10"/>
      <c r="R108" s="10"/>
      <c r="S108" s="10"/>
      <c r="T108" s="10"/>
      <c r="U108" s="127" t="s">
        <v>252</v>
      </c>
      <c r="V108" s="14" t="s">
        <v>56</v>
      </c>
      <c r="W108" s="7"/>
      <c r="X108" s="7"/>
      <c r="Y108" s="15"/>
      <c r="Z108" s="15">
        <v>19.3</v>
      </c>
      <c r="AA108" s="15" t="s">
        <v>89</v>
      </c>
      <c r="AB108" s="15">
        <f t="shared" si="22"/>
        <v>1.4</v>
      </c>
      <c r="AC108" s="16">
        <f t="shared" si="23"/>
        <v>27.02</v>
      </c>
      <c r="AD108" s="12">
        <f t="shared" si="24"/>
        <v>724.14</v>
      </c>
      <c r="AE108" s="15">
        <v>7857.22</v>
      </c>
      <c r="AF108" s="12">
        <f t="shared" si="25"/>
        <v>3999322.3299999977</v>
      </c>
      <c r="AG108" s="12">
        <f t="shared" si="26"/>
        <v>3991465.1099999975</v>
      </c>
      <c r="AH108" s="12">
        <f t="shared" si="27"/>
        <v>3983607.8899999973</v>
      </c>
      <c r="AI108" s="12">
        <f t="shared" si="28"/>
        <v>3975750.6699999971</v>
      </c>
      <c r="AJ108" s="12">
        <f t="shared" si="29"/>
        <v>3967893.4499999969</v>
      </c>
      <c r="AK108" s="12">
        <f t="shared" si="40"/>
        <v>3960036.2299999967</v>
      </c>
      <c r="AL108" s="12">
        <f t="shared" si="40"/>
        <v>3952179.0099999965</v>
      </c>
      <c r="AM108" s="12">
        <f t="shared" si="40"/>
        <v>3944321.7899999963</v>
      </c>
      <c r="AN108" s="12">
        <f t="shared" si="40"/>
        <v>3936464.5699999961</v>
      </c>
      <c r="AO108" s="12">
        <f t="shared" si="40"/>
        <v>3928607.3499999959</v>
      </c>
      <c r="AP108" s="12">
        <f t="shared" si="40"/>
        <v>3920750.1299999957</v>
      </c>
      <c r="AQ108" s="12">
        <f t="shared" si="40"/>
        <v>3912892.9099999955</v>
      </c>
      <c r="AR108" s="17">
        <f t="shared" si="40"/>
        <v>3905035.6899999953</v>
      </c>
      <c r="AS108" s="12">
        <f t="shared" si="34"/>
        <v>59282.69</v>
      </c>
      <c r="AT108" s="12">
        <f t="shared" si="30"/>
        <v>60006.83</v>
      </c>
      <c r="AU108" s="12">
        <f t="shared" si="31"/>
        <v>7857.22</v>
      </c>
      <c r="AV108" s="18">
        <f t="shared" si="35"/>
        <v>5000.57</v>
      </c>
      <c r="AW108" s="17">
        <f t="shared" si="32"/>
        <v>7857.22</v>
      </c>
      <c r="AX108" s="12"/>
      <c r="AY108" s="12"/>
      <c r="AZ108" s="19"/>
      <c r="BA108" s="20"/>
      <c r="BB108" s="20"/>
      <c r="BC108" s="20"/>
      <c r="BD108" s="20"/>
    </row>
    <row r="109" spans="1:56" s="64" customFormat="1" ht="36" x14ac:dyDescent="0.25">
      <c r="A109" s="49"/>
      <c r="B109" s="49">
        <v>141</v>
      </c>
      <c r="C109" s="49" t="s">
        <v>235</v>
      </c>
      <c r="D109" s="49" t="s">
        <v>236</v>
      </c>
      <c r="E109" s="49" t="s">
        <v>237</v>
      </c>
      <c r="F109" s="50">
        <v>81</v>
      </c>
      <c r="G109" s="49">
        <v>404</v>
      </c>
      <c r="H109" s="49" t="str">
        <f t="shared" si="39"/>
        <v>Жилой комплекс Общежитие, Республики 81 - 404</v>
      </c>
      <c r="I109" s="51">
        <v>1</v>
      </c>
      <c r="J109" s="52">
        <v>4049174</v>
      </c>
      <c r="K109" s="52"/>
      <c r="L109" s="53">
        <v>3759572.4000000022</v>
      </c>
      <c r="M109" s="53">
        <f t="shared" si="38"/>
        <v>3759572.4000000022</v>
      </c>
      <c r="N109" s="51">
        <v>1</v>
      </c>
      <c r="O109" s="51">
        <v>25.9</v>
      </c>
      <c r="P109" s="51">
        <v>22.5</v>
      </c>
      <c r="Q109" s="51"/>
      <c r="R109" s="51"/>
      <c r="S109" s="51"/>
      <c r="T109" s="51"/>
      <c r="U109" s="22" t="s">
        <v>253</v>
      </c>
      <c r="V109" s="58" t="s">
        <v>56</v>
      </c>
      <c r="W109" s="49"/>
      <c r="X109" s="49"/>
      <c r="Y109" s="59"/>
      <c r="Z109" s="59">
        <v>19.3</v>
      </c>
      <c r="AA109" s="59" t="s">
        <v>89</v>
      </c>
      <c r="AB109" s="59">
        <f t="shared" si="22"/>
        <v>1.4</v>
      </c>
      <c r="AC109" s="60">
        <f t="shared" si="23"/>
        <v>27.02</v>
      </c>
      <c r="AD109" s="53">
        <f t="shared" si="24"/>
        <v>699.82</v>
      </c>
      <c r="AE109" s="59">
        <v>7386.19</v>
      </c>
      <c r="AF109" s="53">
        <f t="shared" si="25"/>
        <v>3759572.4000000022</v>
      </c>
      <c r="AG109" s="53">
        <f t="shared" si="26"/>
        <v>3752186.2100000023</v>
      </c>
      <c r="AH109" s="53">
        <f t="shared" si="27"/>
        <v>3744800.0200000023</v>
      </c>
      <c r="AI109" s="53">
        <f t="shared" si="28"/>
        <v>3737413.8300000024</v>
      </c>
      <c r="AJ109" s="53">
        <f t="shared" si="29"/>
        <v>3730027.6400000025</v>
      </c>
      <c r="AK109" s="53">
        <f t="shared" si="40"/>
        <v>3722641.4500000025</v>
      </c>
      <c r="AL109" s="53">
        <f t="shared" si="40"/>
        <v>3715255.2600000026</v>
      </c>
      <c r="AM109" s="53">
        <f t="shared" si="40"/>
        <v>3707869.0700000026</v>
      </c>
      <c r="AN109" s="53">
        <f t="shared" si="40"/>
        <v>3700482.8800000027</v>
      </c>
      <c r="AO109" s="53">
        <f t="shared" si="40"/>
        <v>3693096.6900000027</v>
      </c>
      <c r="AP109" s="53">
        <f t="shared" si="40"/>
        <v>3685710.5000000028</v>
      </c>
      <c r="AQ109" s="53">
        <f t="shared" si="40"/>
        <v>3678324.3100000028</v>
      </c>
      <c r="AR109" s="53">
        <f t="shared" si="40"/>
        <v>3670938.1200000029</v>
      </c>
      <c r="AS109" s="53">
        <f t="shared" si="34"/>
        <v>55728.83</v>
      </c>
      <c r="AT109" s="53">
        <f t="shared" si="30"/>
        <v>56428.65</v>
      </c>
      <c r="AU109" s="53">
        <f t="shared" si="31"/>
        <v>7386.19</v>
      </c>
      <c r="AV109" s="61">
        <f t="shared" si="35"/>
        <v>4702.3900000000003</v>
      </c>
      <c r="AW109" s="53">
        <f t="shared" si="32"/>
        <v>7386.19</v>
      </c>
      <c r="AX109" s="53"/>
      <c r="AY109" s="53"/>
      <c r="AZ109" s="62"/>
      <c r="BA109" s="63"/>
      <c r="BB109" s="63"/>
      <c r="BC109" s="63"/>
      <c r="BD109" s="63"/>
    </row>
    <row r="110" spans="1:56" s="21" customFormat="1" ht="36" x14ac:dyDescent="0.25">
      <c r="A110" s="7"/>
      <c r="B110" s="7">
        <v>142</v>
      </c>
      <c r="C110" s="7" t="s">
        <v>235</v>
      </c>
      <c r="D110" s="7" t="s">
        <v>236</v>
      </c>
      <c r="E110" s="7" t="s">
        <v>237</v>
      </c>
      <c r="F110" s="34">
        <v>81</v>
      </c>
      <c r="G110" s="7">
        <v>405</v>
      </c>
      <c r="H110" s="9" t="str">
        <f t="shared" si="39"/>
        <v>Жилой комплекс Общежитие, Республики 81 - 405</v>
      </c>
      <c r="I110" s="10">
        <v>1</v>
      </c>
      <c r="J110" s="11">
        <v>5034108</v>
      </c>
      <c r="K110" s="11"/>
      <c r="L110" s="12">
        <v>4674062.6599999974</v>
      </c>
      <c r="M110" s="12">
        <f t="shared" si="38"/>
        <v>4674062.6599999974</v>
      </c>
      <c r="N110" s="10">
        <v>1</v>
      </c>
      <c r="O110" s="10">
        <v>32.200000000000003</v>
      </c>
      <c r="P110" s="10">
        <v>28.8</v>
      </c>
      <c r="Q110" s="10"/>
      <c r="R110" s="10"/>
      <c r="S110" s="10"/>
      <c r="T110" s="10"/>
      <c r="U110" s="13" t="s">
        <v>254</v>
      </c>
      <c r="V110" s="14" t="s">
        <v>56</v>
      </c>
      <c r="W110" s="7"/>
      <c r="X110" s="7"/>
      <c r="Y110" s="15"/>
      <c r="Z110" s="15">
        <v>19.3</v>
      </c>
      <c r="AA110" s="15" t="s">
        <v>89</v>
      </c>
      <c r="AB110" s="15">
        <f t="shared" si="22"/>
        <v>1.4</v>
      </c>
      <c r="AC110" s="16">
        <f t="shared" si="23"/>
        <v>27.02</v>
      </c>
      <c r="AD110" s="12">
        <f t="shared" si="24"/>
        <v>870.04</v>
      </c>
      <c r="AE110" s="15">
        <v>9182.83</v>
      </c>
      <c r="AF110" s="12">
        <f t="shared" si="25"/>
        <v>4674062.6599999974</v>
      </c>
      <c r="AG110" s="12">
        <f t="shared" si="26"/>
        <v>4664879.8299999973</v>
      </c>
      <c r="AH110" s="12">
        <f t="shared" si="27"/>
        <v>4655696.9999999972</v>
      </c>
      <c r="AI110" s="12">
        <f t="shared" si="28"/>
        <v>4646514.1699999971</v>
      </c>
      <c r="AJ110" s="12">
        <f t="shared" si="29"/>
        <v>4637331.3399999971</v>
      </c>
      <c r="AK110" s="12">
        <f t="shared" si="40"/>
        <v>4628148.509999997</v>
      </c>
      <c r="AL110" s="12">
        <f t="shared" si="40"/>
        <v>4618965.6799999969</v>
      </c>
      <c r="AM110" s="12">
        <f t="shared" si="40"/>
        <v>4609782.8499999968</v>
      </c>
      <c r="AN110" s="12">
        <f t="shared" si="40"/>
        <v>4600600.0199999968</v>
      </c>
      <c r="AO110" s="12">
        <f t="shared" si="40"/>
        <v>4591417.1899999967</v>
      </c>
      <c r="AP110" s="12">
        <f t="shared" si="40"/>
        <v>4582234.3599999966</v>
      </c>
      <c r="AQ110" s="12">
        <f t="shared" si="40"/>
        <v>4573051.5299999965</v>
      </c>
      <c r="AR110" s="17">
        <f t="shared" si="40"/>
        <v>4563868.6999999965</v>
      </c>
      <c r="AS110" s="12">
        <f t="shared" si="34"/>
        <v>69284.490000000005</v>
      </c>
      <c r="AT110" s="12">
        <f t="shared" si="30"/>
        <v>70154.53</v>
      </c>
      <c r="AU110" s="12">
        <f t="shared" si="31"/>
        <v>9182.83</v>
      </c>
      <c r="AV110" s="18">
        <f t="shared" si="35"/>
        <v>5846.21</v>
      </c>
      <c r="AW110" s="17">
        <f t="shared" si="32"/>
        <v>9182.83</v>
      </c>
      <c r="AX110" s="12"/>
      <c r="AY110" s="12"/>
      <c r="AZ110" s="19"/>
      <c r="BA110" s="20"/>
      <c r="BB110" s="20"/>
      <c r="BC110" s="20"/>
      <c r="BD110" s="20"/>
    </row>
    <row r="111" spans="1:56" s="21" customFormat="1" ht="36" x14ac:dyDescent="0.25">
      <c r="A111" s="7"/>
      <c r="B111" s="7">
        <v>143</v>
      </c>
      <c r="C111" s="7" t="s">
        <v>235</v>
      </c>
      <c r="D111" s="7" t="s">
        <v>236</v>
      </c>
      <c r="E111" s="7" t="s">
        <v>237</v>
      </c>
      <c r="F111" s="34">
        <v>81</v>
      </c>
      <c r="G111" s="7">
        <v>407</v>
      </c>
      <c r="H111" s="9" t="str">
        <f t="shared" si="39"/>
        <v>Жилой комплекс Общежитие, Республики 81 - 407</v>
      </c>
      <c r="I111" s="10">
        <v>1</v>
      </c>
      <c r="J111" s="11">
        <v>5378053</v>
      </c>
      <c r="K111" s="11"/>
      <c r="L111" s="12">
        <v>4993408.2399999835</v>
      </c>
      <c r="M111" s="12">
        <f t="shared" si="38"/>
        <v>4993408.2399999835</v>
      </c>
      <c r="N111" s="10">
        <v>1</v>
      </c>
      <c r="O111" s="10">
        <v>34.4</v>
      </c>
      <c r="P111" s="10">
        <v>30.5</v>
      </c>
      <c r="Q111" s="10"/>
      <c r="R111" s="10"/>
      <c r="S111" s="10"/>
      <c r="T111" s="10"/>
      <c r="U111" s="13" t="s">
        <v>255</v>
      </c>
      <c r="V111" s="14" t="s">
        <v>56</v>
      </c>
      <c r="W111" s="7"/>
      <c r="X111" s="7"/>
      <c r="Y111" s="15"/>
      <c r="Z111" s="15">
        <v>19.3</v>
      </c>
      <c r="AA111" s="15" t="s">
        <v>89</v>
      </c>
      <c r="AB111" s="15">
        <f t="shared" si="22"/>
        <v>1.4</v>
      </c>
      <c r="AC111" s="16">
        <f t="shared" si="23"/>
        <v>27.02</v>
      </c>
      <c r="AD111" s="12">
        <f t="shared" si="24"/>
        <v>929.49</v>
      </c>
      <c r="AE111" s="15">
        <v>9810.23</v>
      </c>
      <c r="AF111" s="12">
        <f t="shared" si="25"/>
        <v>4993408.2399999835</v>
      </c>
      <c r="AG111" s="12">
        <f t="shared" si="26"/>
        <v>4983598.009999983</v>
      </c>
      <c r="AH111" s="12">
        <f t="shared" si="27"/>
        <v>4973787.7799999826</v>
      </c>
      <c r="AI111" s="12">
        <f t="shared" si="28"/>
        <v>4963977.5499999821</v>
      </c>
      <c r="AJ111" s="12">
        <f t="shared" si="29"/>
        <v>4954167.3199999817</v>
      </c>
      <c r="AK111" s="12">
        <f t="shared" si="40"/>
        <v>4944357.0899999812</v>
      </c>
      <c r="AL111" s="12">
        <f t="shared" si="40"/>
        <v>4934546.8599999808</v>
      </c>
      <c r="AM111" s="12">
        <f t="shared" si="40"/>
        <v>4924736.6299999803</v>
      </c>
      <c r="AN111" s="12">
        <f t="shared" si="40"/>
        <v>4914926.3999999799</v>
      </c>
      <c r="AO111" s="12">
        <f t="shared" si="40"/>
        <v>4905116.1699999794</v>
      </c>
      <c r="AP111" s="12">
        <f t="shared" si="40"/>
        <v>4895305.939999979</v>
      </c>
      <c r="AQ111" s="12">
        <f t="shared" si="40"/>
        <v>4885495.7099999785</v>
      </c>
      <c r="AR111" s="17">
        <f t="shared" si="40"/>
        <v>4875685.4799999781</v>
      </c>
      <c r="AS111" s="12">
        <f t="shared" si="34"/>
        <v>74018.2</v>
      </c>
      <c r="AT111" s="12">
        <f t="shared" si="30"/>
        <v>74947.69</v>
      </c>
      <c r="AU111" s="12">
        <f t="shared" si="31"/>
        <v>9810.23</v>
      </c>
      <c r="AV111" s="18">
        <f t="shared" si="35"/>
        <v>6245.64</v>
      </c>
      <c r="AW111" s="17">
        <f t="shared" si="32"/>
        <v>9810.23</v>
      </c>
      <c r="AX111" s="12"/>
      <c r="AY111" s="12"/>
      <c r="AZ111" s="19"/>
      <c r="BA111" s="20"/>
      <c r="BB111" s="20"/>
      <c r="BC111" s="20"/>
      <c r="BD111" s="20"/>
    </row>
    <row r="112" spans="1:56" s="21" customFormat="1" ht="36" x14ac:dyDescent="0.25">
      <c r="A112" s="7"/>
      <c r="B112" s="7">
        <v>144</v>
      </c>
      <c r="C112" s="7" t="s">
        <v>235</v>
      </c>
      <c r="D112" s="7" t="s">
        <v>236</v>
      </c>
      <c r="E112" s="7" t="s">
        <v>237</v>
      </c>
      <c r="F112" s="34">
        <v>81</v>
      </c>
      <c r="G112" s="7">
        <v>408</v>
      </c>
      <c r="H112" s="9" t="str">
        <f t="shared" si="39"/>
        <v>Жилой комплекс Общежитие, Республики 81 - 408</v>
      </c>
      <c r="I112" s="10">
        <v>1</v>
      </c>
      <c r="J112" s="11">
        <v>4268048</v>
      </c>
      <c r="K112" s="11"/>
      <c r="L112" s="12">
        <v>3962791.8499999931</v>
      </c>
      <c r="M112" s="12">
        <f t="shared" si="38"/>
        <v>3962791.8499999931</v>
      </c>
      <c r="N112" s="10">
        <v>1</v>
      </c>
      <c r="O112" s="10">
        <v>27.3</v>
      </c>
      <c r="P112" s="10">
        <v>23.7</v>
      </c>
      <c r="Q112" s="10"/>
      <c r="R112" s="10"/>
      <c r="S112" s="10"/>
      <c r="T112" s="10"/>
      <c r="U112" s="13" t="s">
        <v>256</v>
      </c>
      <c r="V112" s="14" t="s">
        <v>56</v>
      </c>
      <c r="W112" s="7"/>
      <c r="X112" s="7"/>
      <c r="Y112" s="15"/>
      <c r="Z112" s="15">
        <v>19.3</v>
      </c>
      <c r="AA112" s="15" t="s">
        <v>89</v>
      </c>
      <c r="AB112" s="15">
        <f t="shared" si="22"/>
        <v>1.4</v>
      </c>
      <c r="AC112" s="16">
        <f t="shared" si="23"/>
        <v>27.02</v>
      </c>
      <c r="AD112" s="12">
        <f t="shared" si="24"/>
        <v>737.65</v>
      </c>
      <c r="AE112" s="15">
        <v>7785.45</v>
      </c>
      <c r="AF112" s="12">
        <f t="shared" si="25"/>
        <v>3962791.8499999931</v>
      </c>
      <c r="AG112" s="12">
        <f t="shared" si="26"/>
        <v>3955006.3999999929</v>
      </c>
      <c r="AH112" s="12">
        <f t="shared" si="27"/>
        <v>3947220.9499999927</v>
      </c>
      <c r="AI112" s="12">
        <f t="shared" si="28"/>
        <v>3939435.4999999925</v>
      </c>
      <c r="AJ112" s="12">
        <f t="shared" si="29"/>
        <v>3931650.0499999924</v>
      </c>
      <c r="AK112" s="12">
        <f t="shared" si="40"/>
        <v>3923864.5999999922</v>
      </c>
      <c r="AL112" s="12">
        <f t="shared" si="40"/>
        <v>3916079.149999992</v>
      </c>
      <c r="AM112" s="12">
        <f t="shared" si="40"/>
        <v>3908293.6999999918</v>
      </c>
      <c r="AN112" s="12">
        <f t="shared" si="40"/>
        <v>3900508.2499999916</v>
      </c>
      <c r="AO112" s="12">
        <f t="shared" si="40"/>
        <v>3892722.7999999914</v>
      </c>
      <c r="AP112" s="12">
        <f t="shared" si="40"/>
        <v>3884937.3499999912</v>
      </c>
      <c r="AQ112" s="12">
        <f t="shared" si="40"/>
        <v>3877151.8999999911</v>
      </c>
      <c r="AR112" s="17">
        <f t="shared" si="40"/>
        <v>3869366.4499999909</v>
      </c>
      <c r="AS112" s="12">
        <f t="shared" si="34"/>
        <v>58741.19</v>
      </c>
      <c r="AT112" s="12">
        <f t="shared" si="30"/>
        <v>59478.840000000004</v>
      </c>
      <c r="AU112" s="12">
        <f t="shared" si="31"/>
        <v>7785.45</v>
      </c>
      <c r="AV112" s="18">
        <f t="shared" si="35"/>
        <v>4956.57</v>
      </c>
      <c r="AW112" s="17">
        <f t="shared" si="32"/>
        <v>7785.45</v>
      </c>
      <c r="AX112" s="12"/>
      <c r="AY112" s="12"/>
      <c r="AZ112" s="19"/>
      <c r="BA112" s="20"/>
      <c r="BB112" s="20"/>
      <c r="BC112" s="20"/>
      <c r="BD112" s="20"/>
    </row>
    <row r="113" spans="1:56" s="21" customFormat="1" ht="36" x14ac:dyDescent="0.25">
      <c r="A113" s="7"/>
      <c r="B113" s="7">
        <v>145</v>
      </c>
      <c r="C113" s="7" t="s">
        <v>235</v>
      </c>
      <c r="D113" s="7" t="s">
        <v>236</v>
      </c>
      <c r="E113" s="7" t="s">
        <v>237</v>
      </c>
      <c r="F113" s="34">
        <v>81</v>
      </c>
      <c r="G113" s="7">
        <v>409</v>
      </c>
      <c r="H113" s="9" t="str">
        <f t="shared" si="39"/>
        <v>Жилой комплекс Общежитие, Республики 81 - 409</v>
      </c>
      <c r="I113" s="10">
        <v>1</v>
      </c>
      <c r="J113" s="11">
        <v>5847069</v>
      </c>
      <c r="K113" s="11"/>
      <c r="L113" s="12">
        <v>5428879.7500000158</v>
      </c>
      <c r="M113" s="12">
        <f t="shared" si="38"/>
        <v>5428879.7500000158</v>
      </c>
      <c r="N113" s="10">
        <v>1</v>
      </c>
      <c r="O113" s="10">
        <v>37.4</v>
      </c>
      <c r="P113" s="10">
        <v>33.5</v>
      </c>
      <c r="Q113" s="10"/>
      <c r="R113" s="10"/>
      <c r="S113" s="10"/>
      <c r="T113" s="10"/>
      <c r="U113" s="13" t="s">
        <v>257</v>
      </c>
      <c r="V113" s="14" t="s">
        <v>56</v>
      </c>
      <c r="W113" s="7"/>
      <c r="X113" s="7"/>
      <c r="Y113" s="15"/>
      <c r="Z113" s="15">
        <v>19.3</v>
      </c>
      <c r="AA113" s="15" t="s">
        <v>89</v>
      </c>
      <c r="AB113" s="15">
        <f t="shared" si="22"/>
        <v>1.4</v>
      </c>
      <c r="AC113" s="16">
        <f t="shared" si="23"/>
        <v>27.02</v>
      </c>
      <c r="AD113" s="12">
        <f t="shared" si="24"/>
        <v>1010.55</v>
      </c>
      <c r="AE113" s="15">
        <v>10665.77</v>
      </c>
      <c r="AF113" s="12">
        <f t="shared" si="25"/>
        <v>5428879.7500000158</v>
      </c>
      <c r="AG113" s="12">
        <f t="shared" si="26"/>
        <v>5418213.9800000163</v>
      </c>
      <c r="AH113" s="12">
        <f t="shared" si="27"/>
        <v>5407548.2100000167</v>
      </c>
      <c r="AI113" s="12">
        <f t="shared" si="28"/>
        <v>5396882.4400000172</v>
      </c>
      <c r="AJ113" s="12">
        <f t="shared" si="29"/>
        <v>5386216.6700000176</v>
      </c>
      <c r="AK113" s="12">
        <f t="shared" si="40"/>
        <v>5375550.9000000181</v>
      </c>
      <c r="AL113" s="12">
        <f t="shared" si="40"/>
        <v>5364885.1300000185</v>
      </c>
      <c r="AM113" s="12">
        <f t="shared" si="40"/>
        <v>5354219.360000019</v>
      </c>
      <c r="AN113" s="12">
        <f t="shared" si="40"/>
        <v>5343553.5900000194</v>
      </c>
      <c r="AO113" s="12">
        <f t="shared" si="40"/>
        <v>5332887.8200000199</v>
      </c>
      <c r="AP113" s="12">
        <f t="shared" si="40"/>
        <v>5322222.0500000203</v>
      </c>
      <c r="AQ113" s="12">
        <f t="shared" si="40"/>
        <v>5311556.2800000207</v>
      </c>
      <c r="AR113" s="17">
        <f t="shared" si="40"/>
        <v>5300890.5100000212</v>
      </c>
      <c r="AS113" s="12">
        <f t="shared" si="34"/>
        <v>80473.279999999999</v>
      </c>
      <c r="AT113" s="12">
        <f t="shared" si="30"/>
        <v>81483.83</v>
      </c>
      <c r="AU113" s="12">
        <f t="shared" si="31"/>
        <v>10665.77</v>
      </c>
      <c r="AV113" s="18">
        <f t="shared" si="35"/>
        <v>6790.32</v>
      </c>
      <c r="AW113" s="17">
        <f t="shared" si="32"/>
        <v>10665.77</v>
      </c>
      <c r="AX113" s="12"/>
      <c r="AY113" s="12"/>
      <c r="AZ113" s="19"/>
      <c r="BA113" s="45"/>
      <c r="BB113" s="20"/>
      <c r="BC113" s="20"/>
      <c r="BD113" s="20"/>
    </row>
    <row r="114" spans="1:56" s="21" customFormat="1" ht="36" x14ac:dyDescent="0.25">
      <c r="A114" s="7"/>
      <c r="B114" s="7">
        <v>146</v>
      </c>
      <c r="C114" s="7" t="s">
        <v>235</v>
      </c>
      <c r="D114" s="7" t="s">
        <v>236</v>
      </c>
      <c r="E114" s="7" t="s">
        <v>237</v>
      </c>
      <c r="F114" s="34">
        <v>81</v>
      </c>
      <c r="G114" s="7">
        <v>410</v>
      </c>
      <c r="H114" s="9" t="str">
        <f t="shared" si="39"/>
        <v>Жилой комплекс Общежитие, Республики 81 - 410</v>
      </c>
      <c r="I114" s="10">
        <v>1</v>
      </c>
      <c r="J114" s="11">
        <v>4393119</v>
      </c>
      <c r="K114" s="11"/>
      <c r="L114" s="12">
        <v>4078917.7900000056</v>
      </c>
      <c r="M114" s="12">
        <f t="shared" si="38"/>
        <v>4078917.7900000056</v>
      </c>
      <c r="N114" s="10">
        <v>1</v>
      </c>
      <c r="O114" s="10">
        <v>28.1</v>
      </c>
      <c r="P114" s="10">
        <v>24.4</v>
      </c>
      <c r="Q114" s="10"/>
      <c r="R114" s="10"/>
      <c r="S114" s="10"/>
      <c r="T114" s="10"/>
      <c r="U114" s="13" t="s">
        <v>258</v>
      </c>
      <c r="V114" s="14" t="s">
        <v>56</v>
      </c>
      <c r="W114" s="7"/>
      <c r="X114" s="7"/>
      <c r="Y114" s="15"/>
      <c r="Z114" s="15">
        <v>19.3</v>
      </c>
      <c r="AA114" s="15" t="s">
        <v>89</v>
      </c>
      <c r="AB114" s="15">
        <f t="shared" si="22"/>
        <v>1.4</v>
      </c>
      <c r="AC114" s="16">
        <f t="shared" si="23"/>
        <v>27.02</v>
      </c>
      <c r="AD114" s="12">
        <f t="shared" si="24"/>
        <v>759.26</v>
      </c>
      <c r="AE114" s="15">
        <v>8013.59</v>
      </c>
      <c r="AF114" s="12">
        <f t="shared" si="25"/>
        <v>4078917.7900000056</v>
      </c>
      <c r="AG114" s="12">
        <f t="shared" si="26"/>
        <v>4070904.2000000058</v>
      </c>
      <c r="AH114" s="12">
        <f t="shared" si="27"/>
        <v>4062890.6100000059</v>
      </c>
      <c r="AI114" s="12">
        <f t="shared" si="28"/>
        <v>4054877.0200000061</v>
      </c>
      <c r="AJ114" s="12">
        <f t="shared" si="29"/>
        <v>4046863.4300000062</v>
      </c>
      <c r="AK114" s="12">
        <f t="shared" si="40"/>
        <v>4038849.8400000064</v>
      </c>
      <c r="AL114" s="12">
        <f t="shared" si="40"/>
        <v>4030836.2500000065</v>
      </c>
      <c r="AM114" s="12">
        <f t="shared" si="40"/>
        <v>4022822.6600000067</v>
      </c>
      <c r="AN114" s="12">
        <f t="shared" si="40"/>
        <v>4014809.0700000068</v>
      </c>
      <c r="AO114" s="12">
        <f t="shared" si="40"/>
        <v>4006795.480000007</v>
      </c>
      <c r="AP114" s="12">
        <f t="shared" si="40"/>
        <v>3998781.8900000071</v>
      </c>
      <c r="AQ114" s="12">
        <f t="shared" si="40"/>
        <v>3990768.3000000073</v>
      </c>
      <c r="AR114" s="17">
        <f t="shared" si="40"/>
        <v>3982754.7100000074</v>
      </c>
      <c r="AS114" s="12">
        <f t="shared" si="34"/>
        <v>60462.54</v>
      </c>
      <c r="AT114" s="12">
        <f t="shared" si="30"/>
        <v>61221.8</v>
      </c>
      <c r="AU114" s="12">
        <f t="shared" si="31"/>
        <v>8013.59</v>
      </c>
      <c r="AV114" s="18">
        <f t="shared" si="35"/>
        <v>5101.82</v>
      </c>
      <c r="AW114" s="17">
        <f t="shared" si="32"/>
        <v>8013.59</v>
      </c>
      <c r="AX114" s="12"/>
      <c r="AY114" s="12"/>
      <c r="AZ114" s="19"/>
      <c r="BA114" s="20"/>
      <c r="BB114" s="20"/>
      <c r="BC114" s="20"/>
      <c r="BD114" s="20"/>
    </row>
    <row r="115" spans="1:56" s="21" customFormat="1" ht="36" x14ac:dyDescent="0.25">
      <c r="A115" s="7"/>
      <c r="B115" s="7">
        <v>147</v>
      </c>
      <c r="C115" s="7" t="s">
        <v>235</v>
      </c>
      <c r="D115" s="7" t="s">
        <v>236</v>
      </c>
      <c r="E115" s="7" t="s">
        <v>237</v>
      </c>
      <c r="F115" s="34">
        <v>81</v>
      </c>
      <c r="G115" s="7">
        <v>411</v>
      </c>
      <c r="H115" s="9" t="str">
        <f t="shared" si="39"/>
        <v>Жилой комплекс Общежитие, Республики 81 - 411</v>
      </c>
      <c r="I115" s="10">
        <v>1</v>
      </c>
      <c r="J115" s="11">
        <f>4236780</f>
        <v>4236780</v>
      </c>
      <c r="K115" s="11"/>
      <c r="L115" s="12">
        <v>3933760.2599999942</v>
      </c>
      <c r="M115" s="12">
        <f t="shared" si="38"/>
        <v>3933760.2599999942</v>
      </c>
      <c r="N115" s="10">
        <v>1</v>
      </c>
      <c r="O115" s="10">
        <f>27.1</f>
        <v>27.1</v>
      </c>
      <c r="P115" s="10">
        <f>23.3</f>
        <v>23.3</v>
      </c>
      <c r="Q115" s="10"/>
      <c r="R115" s="129"/>
      <c r="S115" s="129"/>
      <c r="T115" s="129"/>
      <c r="U115" s="13" t="s">
        <v>259</v>
      </c>
      <c r="V115" s="10" t="s">
        <v>56</v>
      </c>
      <c r="W115" s="7"/>
      <c r="X115" s="7"/>
      <c r="Y115" s="15"/>
      <c r="Z115" s="15">
        <v>19.3</v>
      </c>
      <c r="AA115" s="15" t="s">
        <v>89</v>
      </c>
      <c r="AB115" s="15">
        <f t="shared" si="22"/>
        <v>1.4</v>
      </c>
      <c r="AC115" s="16">
        <f t="shared" si="23"/>
        <v>27.02</v>
      </c>
      <c r="AD115" s="12">
        <f t="shared" si="24"/>
        <v>732.24</v>
      </c>
      <c r="AE115" s="15">
        <v>7728.41</v>
      </c>
      <c r="AF115" s="12">
        <f t="shared" si="25"/>
        <v>3933760.2599999942</v>
      </c>
      <c r="AG115" s="12">
        <f t="shared" si="26"/>
        <v>3926031.849999994</v>
      </c>
      <c r="AH115" s="12">
        <f t="shared" si="27"/>
        <v>3918303.4399999939</v>
      </c>
      <c r="AI115" s="12">
        <f t="shared" si="28"/>
        <v>3910575.0299999937</v>
      </c>
      <c r="AJ115" s="12">
        <f t="shared" si="29"/>
        <v>3902846.6199999936</v>
      </c>
      <c r="AK115" s="12">
        <f t="shared" si="40"/>
        <v>3895118.2099999934</v>
      </c>
      <c r="AL115" s="12">
        <f t="shared" si="40"/>
        <v>3887389.7999999933</v>
      </c>
      <c r="AM115" s="12">
        <f t="shared" si="40"/>
        <v>3879661.3899999931</v>
      </c>
      <c r="AN115" s="12">
        <f t="shared" si="40"/>
        <v>3871932.979999993</v>
      </c>
      <c r="AO115" s="12">
        <f t="shared" si="40"/>
        <v>3864204.5699999928</v>
      </c>
      <c r="AP115" s="12">
        <f t="shared" si="40"/>
        <v>3856476.1599999927</v>
      </c>
      <c r="AQ115" s="12">
        <f t="shared" si="40"/>
        <v>3848747.7499999925</v>
      </c>
      <c r="AR115" s="17">
        <f t="shared" si="40"/>
        <v>3841019.3399999924</v>
      </c>
      <c r="AS115" s="12">
        <f t="shared" si="34"/>
        <v>58310.85</v>
      </c>
      <c r="AT115" s="12">
        <f t="shared" si="30"/>
        <v>59043.09</v>
      </c>
      <c r="AU115" s="12">
        <f t="shared" si="31"/>
        <v>7728.41</v>
      </c>
      <c r="AV115" s="18">
        <f t="shared" si="35"/>
        <v>4920.26</v>
      </c>
      <c r="AW115" s="17">
        <f t="shared" si="32"/>
        <v>7728.41</v>
      </c>
      <c r="AX115" s="12"/>
      <c r="AY115" s="12"/>
      <c r="AZ115" s="19"/>
      <c r="BA115" s="20"/>
      <c r="BB115" s="20"/>
      <c r="BC115" s="20"/>
      <c r="BD115" s="20"/>
    </row>
    <row r="116" spans="1:56" s="21" customFormat="1" ht="36" x14ac:dyDescent="0.25">
      <c r="A116" s="7"/>
      <c r="B116" s="7">
        <v>148</v>
      </c>
      <c r="C116" s="7" t="s">
        <v>235</v>
      </c>
      <c r="D116" s="7" t="s">
        <v>236</v>
      </c>
      <c r="E116" s="7" t="s">
        <v>237</v>
      </c>
      <c r="F116" s="34">
        <v>81</v>
      </c>
      <c r="G116" s="7">
        <v>412</v>
      </c>
      <c r="H116" s="9" t="str">
        <f t="shared" si="39"/>
        <v>Жилой комплекс Общежитие, Республики 81 - 412</v>
      </c>
      <c r="I116" s="10">
        <v>1</v>
      </c>
      <c r="J116" s="11">
        <v>4049174</v>
      </c>
      <c r="K116" s="11"/>
      <c r="L116" s="12">
        <v>3759572.4000000022</v>
      </c>
      <c r="M116" s="12">
        <f t="shared" si="38"/>
        <v>3759572.4000000022</v>
      </c>
      <c r="N116" s="10">
        <v>1</v>
      </c>
      <c r="O116" s="10">
        <f>25.9</f>
        <v>25.9</v>
      </c>
      <c r="P116" s="10">
        <v>22.4</v>
      </c>
      <c r="Q116" s="10"/>
      <c r="R116" s="129"/>
      <c r="S116" s="129"/>
      <c r="T116" s="129"/>
      <c r="U116" s="13" t="s">
        <v>260</v>
      </c>
      <c r="V116" s="10" t="s">
        <v>56</v>
      </c>
      <c r="W116" s="7"/>
      <c r="X116" s="7"/>
      <c r="Y116" s="15"/>
      <c r="Z116" s="15">
        <v>19.3</v>
      </c>
      <c r="AA116" s="15" t="s">
        <v>89</v>
      </c>
      <c r="AB116" s="15">
        <f t="shared" si="22"/>
        <v>1.4</v>
      </c>
      <c r="AC116" s="16">
        <f t="shared" si="23"/>
        <v>27.02</v>
      </c>
      <c r="AD116" s="12">
        <f t="shared" si="24"/>
        <v>699.82</v>
      </c>
      <c r="AE116" s="15">
        <v>7386.19</v>
      </c>
      <c r="AF116" s="12">
        <f t="shared" si="25"/>
        <v>3759572.4000000022</v>
      </c>
      <c r="AG116" s="12">
        <f t="shared" si="26"/>
        <v>3752186.2100000023</v>
      </c>
      <c r="AH116" s="12">
        <f t="shared" si="27"/>
        <v>3744800.0200000023</v>
      </c>
      <c r="AI116" s="12">
        <f t="shared" si="28"/>
        <v>3737413.8300000024</v>
      </c>
      <c r="AJ116" s="12">
        <f t="shared" si="29"/>
        <v>3730027.6400000025</v>
      </c>
      <c r="AK116" s="12">
        <f t="shared" si="40"/>
        <v>3722641.4500000025</v>
      </c>
      <c r="AL116" s="12">
        <f t="shared" si="40"/>
        <v>3715255.2600000026</v>
      </c>
      <c r="AM116" s="12">
        <f t="shared" si="40"/>
        <v>3707869.0700000026</v>
      </c>
      <c r="AN116" s="12">
        <f t="shared" si="40"/>
        <v>3700482.8800000027</v>
      </c>
      <c r="AO116" s="12">
        <f t="shared" si="40"/>
        <v>3693096.6900000027</v>
      </c>
      <c r="AP116" s="12">
        <f t="shared" si="40"/>
        <v>3685710.5000000028</v>
      </c>
      <c r="AQ116" s="12">
        <f t="shared" si="40"/>
        <v>3678324.3100000028</v>
      </c>
      <c r="AR116" s="17">
        <f t="shared" si="40"/>
        <v>3670938.1200000029</v>
      </c>
      <c r="AS116" s="12">
        <f t="shared" si="34"/>
        <v>55728.83</v>
      </c>
      <c r="AT116" s="12">
        <f t="shared" si="30"/>
        <v>56428.65</v>
      </c>
      <c r="AU116" s="12">
        <f t="shared" si="31"/>
        <v>7386.19</v>
      </c>
      <c r="AV116" s="18">
        <f t="shared" si="35"/>
        <v>4702.3900000000003</v>
      </c>
      <c r="AW116" s="17">
        <f t="shared" si="32"/>
        <v>7386.19</v>
      </c>
      <c r="AX116" s="12"/>
      <c r="AY116" s="12"/>
      <c r="AZ116" s="19"/>
      <c r="BA116" s="20"/>
      <c r="BB116" s="20"/>
      <c r="BC116" s="20"/>
      <c r="BD116" s="20"/>
    </row>
    <row r="117" spans="1:56" s="104" customFormat="1" ht="36" x14ac:dyDescent="0.25">
      <c r="A117" s="90"/>
      <c r="B117" s="90">
        <v>149</v>
      </c>
      <c r="C117" s="90" t="s">
        <v>235</v>
      </c>
      <c r="D117" s="90" t="s">
        <v>236</v>
      </c>
      <c r="E117" s="90" t="s">
        <v>237</v>
      </c>
      <c r="F117" s="91">
        <v>81</v>
      </c>
      <c r="G117" s="90">
        <v>413</v>
      </c>
      <c r="H117" s="90" t="str">
        <f t="shared" si="39"/>
        <v>Жилой комплекс Общежитие, Республики 81 - 413</v>
      </c>
      <c r="I117" s="89">
        <v>1</v>
      </c>
      <c r="J117" s="93">
        <v>4299316</v>
      </c>
      <c r="K117" s="93"/>
      <c r="L117" s="94">
        <v>3991823.6899999958</v>
      </c>
      <c r="M117" s="94">
        <f t="shared" si="38"/>
        <v>3991823.6899999958</v>
      </c>
      <c r="N117" s="89">
        <v>1</v>
      </c>
      <c r="O117" s="89">
        <v>27.5</v>
      </c>
      <c r="P117" s="89">
        <v>23.5</v>
      </c>
      <c r="Q117" s="89"/>
      <c r="R117" s="89"/>
      <c r="S117" s="89"/>
      <c r="T117" s="89"/>
      <c r="U117" s="97" t="s">
        <v>261</v>
      </c>
      <c r="V117" s="98" t="s">
        <v>56</v>
      </c>
      <c r="W117" s="90"/>
      <c r="X117" s="90"/>
      <c r="Y117" s="99"/>
      <c r="Z117" s="99">
        <v>19.3</v>
      </c>
      <c r="AA117" s="99" t="s">
        <v>89</v>
      </c>
      <c r="AB117" s="99">
        <f t="shared" si="22"/>
        <v>1.4</v>
      </c>
      <c r="AC117" s="100">
        <f t="shared" si="23"/>
        <v>27.02</v>
      </c>
      <c r="AD117" s="94">
        <f t="shared" si="24"/>
        <v>743.05</v>
      </c>
      <c r="AE117" s="99">
        <v>7842.48</v>
      </c>
      <c r="AF117" s="94">
        <f t="shared" si="25"/>
        <v>3991823.6899999958</v>
      </c>
      <c r="AG117" s="94">
        <f t="shared" si="26"/>
        <v>3983981.2099999958</v>
      </c>
      <c r="AH117" s="94">
        <f t="shared" si="27"/>
        <v>3976138.7299999958</v>
      </c>
      <c r="AI117" s="94">
        <f t="shared" si="28"/>
        <v>3968296.2499999958</v>
      </c>
      <c r="AJ117" s="94">
        <f t="shared" si="29"/>
        <v>3960453.7699999958</v>
      </c>
      <c r="AK117" s="94">
        <f t="shared" ref="AK117:AR132" si="41">AJ117-$AE117</f>
        <v>3952611.2899999958</v>
      </c>
      <c r="AL117" s="94">
        <f t="shared" si="41"/>
        <v>3944768.8099999959</v>
      </c>
      <c r="AM117" s="94">
        <f t="shared" si="41"/>
        <v>3936926.3299999959</v>
      </c>
      <c r="AN117" s="94">
        <f t="shared" si="41"/>
        <v>3929083.8499999959</v>
      </c>
      <c r="AO117" s="94">
        <f t="shared" si="41"/>
        <v>3921241.3699999959</v>
      </c>
      <c r="AP117" s="94">
        <f t="shared" si="41"/>
        <v>3913398.8899999959</v>
      </c>
      <c r="AQ117" s="94">
        <f t="shared" si="41"/>
        <v>3905556.409999996</v>
      </c>
      <c r="AR117" s="94">
        <f t="shared" si="41"/>
        <v>3897713.929999996</v>
      </c>
      <c r="AS117" s="94">
        <f t="shared" si="34"/>
        <v>59171.53</v>
      </c>
      <c r="AT117" s="94">
        <f t="shared" si="30"/>
        <v>59914.58</v>
      </c>
      <c r="AU117" s="94">
        <f t="shared" si="31"/>
        <v>7842.48</v>
      </c>
      <c r="AV117" s="101">
        <f t="shared" si="35"/>
        <v>4992.88</v>
      </c>
      <c r="AW117" s="94">
        <f t="shared" si="32"/>
        <v>7842.48</v>
      </c>
      <c r="AX117" s="94"/>
      <c r="AY117" s="94"/>
      <c r="AZ117" s="102"/>
      <c r="BA117" s="103"/>
      <c r="BB117" s="103"/>
      <c r="BC117" s="103"/>
      <c r="BD117" s="103"/>
    </row>
    <row r="118" spans="1:56" s="21" customFormat="1" ht="36" x14ac:dyDescent="0.25">
      <c r="A118" s="7"/>
      <c r="B118" s="7">
        <v>150</v>
      </c>
      <c r="C118" s="7" t="s">
        <v>235</v>
      </c>
      <c r="D118" s="7" t="s">
        <v>236</v>
      </c>
      <c r="E118" s="7" t="s">
        <v>237</v>
      </c>
      <c r="F118" s="34">
        <v>81</v>
      </c>
      <c r="G118" s="7">
        <v>415</v>
      </c>
      <c r="H118" s="9" t="str">
        <f t="shared" si="39"/>
        <v>Жилой комплекс Общежитие, Республики 81 - 415</v>
      </c>
      <c r="I118" s="10">
        <v>1</v>
      </c>
      <c r="J118" s="11">
        <v>4236780</v>
      </c>
      <c r="K118" s="11"/>
      <c r="L118" s="12">
        <v>3933760.2599999942</v>
      </c>
      <c r="M118" s="12">
        <f t="shared" si="38"/>
        <v>3933760.2599999942</v>
      </c>
      <c r="N118" s="10">
        <v>1</v>
      </c>
      <c r="O118" s="10">
        <v>27.1</v>
      </c>
      <c r="P118" s="10">
        <v>23.5</v>
      </c>
      <c r="Q118" s="10"/>
      <c r="R118" s="10"/>
      <c r="S118" s="10"/>
      <c r="T118" s="10"/>
      <c r="U118" s="13" t="s">
        <v>262</v>
      </c>
      <c r="V118" s="14" t="s">
        <v>56</v>
      </c>
      <c r="W118" s="7"/>
      <c r="X118" s="7"/>
      <c r="Y118" s="15"/>
      <c r="Z118" s="15">
        <v>19.3</v>
      </c>
      <c r="AA118" s="15" t="s">
        <v>89</v>
      </c>
      <c r="AB118" s="15">
        <f t="shared" si="22"/>
        <v>1.4</v>
      </c>
      <c r="AC118" s="16">
        <f t="shared" si="23"/>
        <v>27.02</v>
      </c>
      <c r="AD118" s="12">
        <f t="shared" si="24"/>
        <v>732.24</v>
      </c>
      <c r="AE118" s="15">
        <v>7728.41</v>
      </c>
      <c r="AF118" s="12">
        <f t="shared" si="25"/>
        <v>3933760.2599999942</v>
      </c>
      <c r="AG118" s="12">
        <f t="shared" si="26"/>
        <v>3926031.849999994</v>
      </c>
      <c r="AH118" s="12">
        <f t="shared" si="27"/>
        <v>3918303.4399999939</v>
      </c>
      <c r="AI118" s="12">
        <f t="shared" si="28"/>
        <v>3910575.0299999937</v>
      </c>
      <c r="AJ118" s="12">
        <f t="shared" si="29"/>
        <v>3902846.6199999936</v>
      </c>
      <c r="AK118" s="12">
        <f t="shared" si="41"/>
        <v>3895118.2099999934</v>
      </c>
      <c r="AL118" s="12">
        <f t="shared" si="41"/>
        <v>3887389.7999999933</v>
      </c>
      <c r="AM118" s="12">
        <f t="shared" si="41"/>
        <v>3879661.3899999931</v>
      </c>
      <c r="AN118" s="12">
        <f t="shared" si="41"/>
        <v>3871932.979999993</v>
      </c>
      <c r="AO118" s="12">
        <f t="shared" si="41"/>
        <v>3864204.5699999928</v>
      </c>
      <c r="AP118" s="12">
        <f t="shared" si="41"/>
        <v>3856476.1599999927</v>
      </c>
      <c r="AQ118" s="12">
        <f t="shared" si="41"/>
        <v>3848747.7499999925</v>
      </c>
      <c r="AR118" s="17">
        <f t="shared" si="41"/>
        <v>3841019.3399999924</v>
      </c>
      <c r="AS118" s="12">
        <f t="shared" si="34"/>
        <v>58310.85</v>
      </c>
      <c r="AT118" s="12">
        <f t="shared" si="30"/>
        <v>59043.09</v>
      </c>
      <c r="AU118" s="12">
        <f t="shared" si="31"/>
        <v>7728.41</v>
      </c>
      <c r="AV118" s="18">
        <f t="shared" si="35"/>
        <v>4920.26</v>
      </c>
      <c r="AW118" s="17">
        <f t="shared" si="32"/>
        <v>7728.41</v>
      </c>
      <c r="AX118" s="12"/>
      <c r="AY118" s="12"/>
      <c r="AZ118" s="19"/>
      <c r="BA118" s="20"/>
      <c r="BB118" s="20"/>
      <c r="BC118" s="20"/>
      <c r="BD118" s="20"/>
    </row>
    <row r="119" spans="1:56" s="21" customFormat="1" ht="36" x14ac:dyDescent="0.25">
      <c r="A119" s="7"/>
      <c r="B119" s="7">
        <v>151</v>
      </c>
      <c r="C119" s="7" t="s">
        <v>235</v>
      </c>
      <c r="D119" s="7" t="s">
        <v>236</v>
      </c>
      <c r="E119" s="7" t="s">
        <v>237</v>
      </c>
      <c r="F119" s="34">
        <v>81</v>
      </c>
      <c r="G119" s="7">
        <v>417</v>
      </c>
      <c r="H119" s="9" t="str">
        <f t="shared" si="39"/>
        <v>Жилой комплекс Общежитие, Республики 81 - 417</v>
      </c>
      <c r="I119" s="10">
        <v>1</v>
      </c>
      <c r="J119" s="11">
        <v>4299316</v>
      </c>
      <c r="K119" s="11"/>
      <c r="L119" s="12">
        <v>3991823.6899999958</v>
      </c>
      <c r="M119" s="12">
        <f t="shared" si="38"/>
        <v>3991823.6899999958</v>
      </c>
      <c r="N119" s="10">
        <v>1</v>
      </c>
      <c r="O119" s="10">
        <v>27.5</v>
      </c>
      <c r="P119" s="10">
        <v>24</v>
      </c>
      <c r="Q119" s="10"/>
      <c r="R119" s="10"/>
      <c r="S119" s="10"/>
      <c r="T119" s="10"/>
      <c r="U119" s="13" t="s">
        <v>263</v>
      </c>
      <c r="V119" s="14" t="s">
        <v>56</v>
      </c>
      <c r="W119" s="7"/>
      <c r="X119" s="7"/>
      <c r="Y119" s="15"/>
      <c r="Z119" s="15">
        <v>19.3</v>
      </c>
      <c r="AA119" s="15" t="s">
        <v>89</v>
      </c>
      <c r="AB119" s="15">
        <f t="shared" si="22"/>
        <v>1.4</v>
      </c>
      <c r="AC119" s="16">
        <f t="shared" si="23"/>
        <v>27.02</v>
      </c>
      <c r="AD119" s="12">
        <f t="shared" si="24"/>
        <v>743.05</v>
      </c>
      <c r="AE119" s="15">
        <v>7842.48</v>
      </c>
      <c r="AF119" s="12">
        <f t="shared" si="25"/>
        <v>3991823.6899999958</v>
      </c>
      <c r="AG119" s="12">
        <f t="shared" si="26"/>
        <v>3983981.2099999958</v>
      </c>
      <c r="AH119" s="12">
        <f t="shared" si="27"/>
        <v>3976138.7299999958</v>
      </c>
      <c r="AI119" s="12">
        <f t="shared" si="28"/>
        <v>3968296.2499999958</v>
      </c>
      <c r="AJ119" s="12">
        <f t="shared" si="29"/>
        <v>3960453.7699999958</v>
      </c>
      <c r="AK119" s="12">
        <f t="shared" si="41"/>
        <v>3952611.2899999958</v>
      </c>
      <c r="AL119" s="12">
        <f t="shared" si="41"/>
        <v>3944768.8099999959</v>
      </c>
      <c r="AM119" s="12">
        <f t="shared" si="41"/>
        <v>3936926.3299999959</v>
      </c>
      <c r="AN119" s="12">
        <f t="shared" si="41"/>
        <v>3929083.8499999959</v>
      </c>
      <c r="AO119" s="12">
        <f t="shared" si="41"/>
        <v>3921241.3699999959</v>
      </c>
      <c r="AP119" s="12">
        <f t="shared" si="41"/>
        <v>3913398.8899999959</v>
      </c>
      <c r="AQ119" s="12">
        <f t="shared" si="41"/>
        <v>3905556.409999996</v>
      </c>
      <c r="AR119" s="17">
        <f t="shared" si="41"/>
        <v>3897713.929999996</v>
      </c>
      <c r="AS119" s="12">
        <f t="shared" si="34"/>
        <v>59171.53</v>
      </c>
      <c r="AT119" s="12">
        <f t="shared" si="30"/>
        <v>59914.58</v>
      </c>
      <c r="AU119" s="12">
        <f t="shared" si="31"/>
        <v>7842.48</v>
      </c>
      <c r="AV119" s="18">
        <f t="shared" si="35"/>
        <v>4992.88</v>
      </c>
      <c r="AW119" s="17">
        <f t="shared" si="32"/>
        <v>7842.48</v>
      </c>
      <c r="AX119" s="12"/>
      <c r="AY119" s="12"/>
      <c r="AZ119" s="19"/>
      <c r="BA119" s="20"/>
      <c r="BB119" s="20"/>
      <c r="BC119" s="20"/>
      <c r="BD119" s="20"/>
    </row>
    <row r="120" spans="1:56" s="21" customFormat="1" ht="36" x14ac:dyDescent="0.25">
      <c r="A120" s="7"/>
      <c r="B120" s="7">
        <v>152</v>
      </c>
      <c r="C120" s="7" t="s">
        <v>235</v>
      </c>
      <c r="D120" s="7" t="s">
        <v>236</v>
      </c>
      <c r="E120" s="7" t="s">
        <v>237</v>
      </c>
      <c r="F120" s="34">
        <v>81</v>
      </c>
      <c r="G120" s="7">
        <v>418</v>
      </c>
      <c r="H120" s="9" t="str">
        <f t="shared" si="39"/>
        <v>Жилой комплекс Общежитие, Республики 81 - 418</v>
      </c>
      <c r="I120" s="10">
        <v>1</v>
      </c>
      <c r="J120" s="11">
        <v>6159747</v>
      </c>
      <c r="K120" s="11"/>
      <c r="L120" s="12">
        <v>5719194.2300000116</v>
      </c>
      <c r="M120" s="12">
        <f t="shared" si="38"/>
        <v>5719194.2300000116</v>
      </c>
      <c r="N120" s="10">
        <v>1</v>
      </c>
      <c r="O120" s="10">
        <v>39.4</v>
      </c>
      <c r="P120" s="10">
        <v>35.799999999999997</v>
      </c>
      <c r="Q120" s="10"/>
      <c r="R120" s="10"/>
      <c r="S120" s="10"/>
      <c r="T120" s="10"/>
      <c r="U120" s="130" t="s">
        <v>264</v>
      </c>
      <c r="V120" s="14" t="s">
        <v>56</v>
      </c>
      <c r="W120" s="7"/>
      <c r="X120" s="7"/>
      <c r="Y120" s="15"/>
      <c r="Z120" s="15">
        <v>19.3</v>
      </c>
      <c r="AA120" s="15" t="s">
        <v>89</v>
      </c>
      <c r="AB120" s="15">
        <f t="shared" si="22"/>
        <v>1.4</v>
      </c>
      <c r="AC120" s="16">
        <f t="shared" si="23"/>
        <v>27.02</v>
      </c>
      <c r="AD120" s="12">
        <f t="shared" si="24"/>
        <v>1064.5899999999999</v>
      </c>
      <c r="AE120" s="15">
        <v>11236.14</v>
      </c>
      <c r="AF120" s="12">
        <f t="shared" si="25"/>
        <v>5719194.2300000116</v>
      </c>
      <c r="AG120" s="12">
        <f t="shared" si="26"/>
        <v>5707958.090000012</v>
      </c>
      <c r="AH120" s="12">
        <f t="shared" si="27"/>
        <v>5696721.9500000123</v>
      </c>
      <c r="AI120" s="12">
        <f t="shared" si="28"/>
        <v>5685485.8100000126</v>
      </c>
      <c r="AJ120" s="12">
        <f t="shared" si="29"/>
        <v>5674249.670000013</v>
      </c>
      <c r="AK120" s="12">
        <f t="shared" si="41"/>
        <v>5663013.5300000133</v>
      </c>
      <c r="AL120" s="12">
        <f t="shared" si="41"/>
        <v>5651777.3900000136</v>
      </c>
      <c r="AM120" s="12">
        <f t="shared" si="41"/>
        <v>5640541.250000014</v>
      </c>
      <c r="AN120" s="12">
        <f t="shared" si="41"/>
        <v>5629305.1100000143</v>
      </c>
      <c r="AO120" s="12">
        <f t="shared" si="41"/>
        <v>5618068.9700000146</v>
      </c>
      <c r="AP120" s="12">
        <f t="shared" si="41"/>
        <v>5606832.830000015</v>
      </c>
      <c r="AQ120" s="12">
        <f t="shared" si="41"/>
        <v>5595596.6900000153</v>
      </c>
      <c r="AR120" s="17">
        <f t="shared" si="41"/>
        <v>5584360.5500000156</v>
      </c>
      <c r="AS120" s="12">
        <f t="shared" si="34"/>
        <v>84776.66</v>
      </c>
      <c r="AT120" s="12">
        <f t="shared" si="30"/>
        <v>85841.25</v>
      </c>
      <c r="AU120" s="12">
        <f t="shared" si="31"/>
        <v>11236.14</v>
      </c>
      <c r="AV120" s="18">
        <f t="shared" si="35"/>
        <v>7153.44</v>
      </c>
      <c r="AW120" s="17">
        <f t="shared" si="32"/>
        <v>11236.14</v>
      </c>
      <c r="AX120" s="12"/>
      <c r="AY120" s="12"/>
      <c r="AZ120" s="19"/>
      <c r="BA120" s="20"/>
      <c r="BB120" s="20"/>
      <c r="BC120" s="20"/>
      <c r="BD120" s="20"/>
    </row>
    <row r="121" spans="1:56" s="21" customFormat="1" ht="36" x14ac:dyDescent="0.25">
      <c r="A121" s="7"/>
      <c r="B121" s="7">
        <v>153</v>
      </c>
      <c r="C121" s="7" t="s">
        <v>235</v>
      </c>
      <c r="D121" s="7" t="s">
        <v>236</v>
      </c>
      <c r="E121" s="7" t="s">
        <v>237</v>
      </c>
      <c r="F121" s="34">
        <v>81</v>
      </c>
      <c r="G121" s="7">
        <v>422</v>
      </c>
      <c r="H121" s="9" t="str">
        <f t="shared" si="39"/>
        <v>Жилой комплекс Общежитие, Республики 81 - 422</v>
      </c>
      <c r="I121" s="10">
        <v>1</v>
      </c>
      <c r="J121" s="11">
        <v>4377485</v>
      </c>
      <c r="K121" s="11"/>
      <c r="L121" s="12">
        <v>4064401.9999999967</v>
      </c>
      <c r="M121" s="12">
        <f t="shared" si="38"/>
        <v>4064401.9999999967</v>
      </c>
      <c r="N121" s="10">
        <v>1</v>
      </c>
      <c r="O121" s="33">
        <v>28</v>
      </c>
      <c r="P121" s="10">
        <v>24.1</v>
      </c>
      <c r="Q121" s="10"/>
      <c r="R121" s="10"/>
      <c r="S121" s="10"/>
      <c r="T121" s="10"/>
      <c r="U121" s="13" t="s">
        <v>265</v>
      </c>
      <c r="V121" s="14" t="s">
        <v>56</v>
      </c>
      <c r="W121" s="7"/>
      <c r="X121" s="7"/>
      <c r="Y121" s="15"/>
      <c r="Z121" s="15">
        <v>19.3</v>
      </c>
      <c r="AA121" s="15" t="s">
        <v>89</v>
      </c>
      <c r="AB121" s="15">
        <f t="shared" si="22"/>
        <v>1.4</v>
      </c>
      <c r="AC121" s="16">
        <f t="shared" si="23"/>
        <v>27.02</v>
      </c>
      <c r="AD121" s="12">
        <f t="shared" si="24"/>
        <v>756.56</v>
      </c>
      <c r="AE121" s="15">
        <v>7985.07</v>
      </c>
      <c r="AF121" s="12">
        <f t="shared" si="25"/>
        <v>4064401.9999999967</v>
      </c>
      <c r="AG121" s="12">
        <f t="shared" si="26"/>
        <v>4056416.9299999969</v>
      </c>
      <c r="AH121" s="12">
        <f t="shared" si="27"/>
        <v>4048431.8599999971</v>
      </c>
      <c r="AI121" s="12">
        <f t="shared" si="28"/>
        <v>4040446.7899999972</v>
      </c>
      <c r="AJ121" s="12">
        <f t="shared" si="29"/>
        <v>4032461.7199999974</v>
      </c>
      <c r="AK121" s="12">
        <f t="shared" si="41"/>
        <v>4024476.6499999976</v>
      </c>
      <c r="AL121" s="12">
        <f t="shared" si="41"/>
        <v>4016491.5799999977</v>
      </c>
      <c r="AM121" s="12">
        <f t="shared" si="41"/>
        <v>4008506.5099999979</v>
      </c>
      <c r="AN121" s="12">
        <f t="shared" si="41"/>
        <v>4000521.4399999981</v>
      </c>
      <c r="AO121" s="12">
        <f t="shared" si="41"/>
        <v>3992536.3699999982</v>
      </c>
      <c r="AP121" s="12">
        <f t="shared" si="41"/>
        <v>3984551.2999999984</v>
      </c>
      <c r="AQ121" s="12">
        <f t="shared" si="41"/>
        <v>3976566.2299999986</v>
      </c>
      <c r="AR121" s="17">
        <f t="shared" si="41"/>
        <v>3968581.1599999988</v>
      </c>
      <c r="AS121" s="12">
        <f t="shared" si="34"/>
        <v>60247.37</v>
      </c>
      <c r="AT121" s="12">
        <f t="shared" si="30"/>
        <v>61003.93</v>
      </c>
      <c r="AU121" s="12">
        <f t="shared" si="31"/>
        <v>7985.07</v>
      </c>
      <c r="AV121" s="18">
        <f t="shared" si="35"/>
        <v>5083.66</v>
      </c>
      <c r="AW121" s="17">
        <f t="shared" si="32"/>
        <v>7985.07</v>
      </c>
      <c r="AX121" s="12"/>
      <c r="AY121" s="12"/>
      <c r="AZ121" s="19"/>
      <c r="BA121" s="45"/>
      <c r="BB121" s="20"/>
      <c r="BC121" s="20"/>
      <c r="BD121" s="20"/>
    </row>
    <row r="122" spans="1:56" s="21" customFormat="1" ht="36" x14ac:dyDescent="0.25">
      <c r="A122" s="7"/>
      <c r="B122" s="7">
        <v>154</v>
      </c>
      <c r="C122" s="7" t="s">
        <v>235</v>
      </c>
      <c r="D122" s="7" t="s">
        <v>236</v>
      </c>
      <c r="E122" s="7" t="s">
        <v>237</v>
      </c>
      <c r="F122" s="34">
        <v>81</v>
      </c>
      <c r="G122" s="7">
        <v>424</v>
      </c>
      <c r="H122" s="9" t="str">
        <f t="shared" si="39"/>
        <v>Жилой комплекс Общежитие, Республики 81 - 424</v>
      </c>
      <c r="I122" s="10">
        <v>1</v>
      </c>
      <c r="J122" s="11">
        <v>4158611</v>
      </c>
      <c r="K122" s="11"/>
      <c r="L122" s="12">
        <v>3861181.9500000062</v>
      </c>
      <c r="M122" s="12">
        <f t="shared" si="38"/>
        <v>3861181.9500000062</v>
      </c>
      <c r="N122" s="10">
        <v>1</v>
      </c>
      <c r="O122" s="10">
        <v>26.6</v>
      </c>
      <c r="P122" s="10">
        <v>23.1</v>
      </c>
      <c r="Q122" s="10"/>
      <c r="R122" s="10"/>
      <c r="S122" s="10"/>
      <c r="T122" s="10"/>
      <c r="U122" s="13" t="s">
        <v>266</v>
      </c>
      <c r="V122" s="14" t="s">
        <v>56</v>
      </c>
      <c r="W122" s="7"/>
      <c r="X122" s="7"/>
      <c r="Y122" s="15"/>
      <c r="Z122" s="15">
        <v>19.3</v>
      </c>
      <c r="AA122" s="15" t="s">
        <v>89</v>
      </c>
      <c r="AB122" s="15">
        <f t="shared" si="22"/>
        <v>1.4</v>
      </c>
      <c r="AC122" s="16">
        <f t="shared" si="23"/>
        <v>27.02</v>
      </c>
      <c r="AD122" s="12">
        <f t="shared" si="24"/>
        <v>718.73</v>
      </c>
      <c r="AE122" s="15">
        <v>7585.82</v>
      </c>
      <c r="AF122" s="12">
        <f t="shared" si="25"/>
        <v>3861181.9500000062</v>
      </c>
      <c r="AG122" s="12">
        <f t="shared" si="26"/>
        <v>3853596.1300000064</v>
      </c>
      <c r="AH122" s="12">
        <f t="shared" si="27"/>
        <v>3846010.3100000066</v>
      </c>
      <c r="AI122" s="12">
        <f t="shared" si="28"/>
        <v>3838424.4900000067</v>
      </c>
      <c r="AJ122" s="12">
        <f t="shared" si="29"/>
        <v>3830838.6700000069</v>
      </c>
      <c r="AK122" s="12">
        <f t="shared" si="41"/>
        <v>3823252.8500000071</v>
      </c>
      <c r="AL122" s="12">
        <f t="shared" si="41"/>
        <v>3815667.0300000072</v>
      </c>
      <c r="AM122" s="12">
        <f t="shared" si="41"/>
        <v>3808081.2100000074</v>
      </c>
      <c r="AN122" s="12">
        <f t="shared" si="41"/>
        <v>3800495.3900000076</v>
      </c>
      <c r="AO122" s="12">
        <f t="shared" si="41"/>
        <v>3792909.5700000077</v>
      </c>
      <c r="AP122" s="12">
        <f t="shared" si="41"/>
        <v>3785323.7500000079</v>
      </c>
      <c r="AQ122" s="12">
        <f t="shared" si="41"/>
        <v>3777737.9300000081</v>
      </c>
      <c r="AR122" s="17">
        <f t="shared" si="41"/>
        <v>3770152.1100000083</v>
      </c>
      <c r="AS122" s="12">
        <f t="shared" si="34"/>
        <v>57235.01</v>
      </c>
      <c r="AT122" s="12">
        <f t="shared" si="30"/>
        <v>57953.740000000005</v>
      </c>
      <c r="AU122" s="12">
        <f t="shared" si="31"/>
        <v>7585.82</v>
      </c>
      <c r="AV122" s="18">
        <f t="shared" si="35"/>
        <v>4829.4799999999996</v>
      </c>
      <c r="AW122" s="17">
        <f t="shared" si="32"/>
        <v>7585.82</v>
      </c>
      <c r="AX122" s="12"/>
      <c r="AY122" s="12"/>
      <c r="AZ122" s="19"/>
      <c r="BA122" s="20"/>
      <c r="BB122" s="20"/>
      <c r="BC122" s="20"/>
      <c r="BD122" s="20"/>
    </row>
    <row r="123" spans="1:56" s="21" customFormat="1" ht="36" x14ac:dyDescent="0.25">
      <c r="A123" s="7"/>
      <c r="B123" s="7">
        <v>155</v>
      </c>
      <c r="C123" s="7" t="s">
        <v>235</v>
      </c>
      <c r="D123" s="7" t="s">
        <v>236</v>
      </c>
      <c r="E123" s="7" t="s">
        <v>237</v>
      </c>
      <c r="F123" s="34">
        <v>81</v>
      </c>
      <c r="G123" s="7">
        <v>426</v>
      </c>
      <c r="H123" s="9" t="str">
        <f t="shared" si="39"/>
        <v>Жилой комплекс Общежитие, Республики 81 - 426</v>
      </c>
      <c r="I123" s="10">
        <v>1</v>
      </c>
      <c r="J123" s="11">
        <v>4314949</v>
      </c>
      <c r="K123" s="11"/>
      <c r="L123" s="12">
        <v>4006338.5700000003</v>
      </c>
      <c r="M123" s="12">
        <f t="shared" si="38"/>
        <v>4006338.5700000003</v>
      </c>
      <c r="N123" s="10">
        <v>1</v>
      </c>
      <c r="O123" s="10">
        <f>27.6</f>
        <v>27.6</v>
      </c>
      <c r="P123" s="10">
        <v>23.8</v>
      </c>
      <c r="Q123" s="10"/>
      <c r="R123" s="129"/>
      <c r="S123" s="129"/>
      <c r="T123" s="129"/>
      <c r="U123" s="13" t="s">
        <v>267</v>
      </c>
      <c r="V123" s="10" t="s">
        <v>56</v>
      </c>
      <c r="W123" s="7"/>
      <c r="X123" s="7"/>
      <c r="Y123" s="15"/>
      <c r="Z123" s="15">
        <v>19.3</v>
      </c>
      <c r="AA123" s="15" t="s">
        <v>89</v>
      </c>
      <c r="AB123" s="15">
        <f t="shared" si="22"/>
        <v>1.4</v>
      </c>
      <c r="AC123" s="16">
        <f t="shared" si="23"/>
        <v>27.02</v>
      </c>
      <c r="AD123" s="12">
        <f t="shared" si="24"/>
        <v>745.75</v>
      </c>
      <c r="AE123" s="15">
        <v>7871</v>
      </c>
      <c r="AF123" s="12">
        <f t="shared" si="25"/>
        <v>4006338.5700000003</v>
      </c>
      <c r="AG123" s="12">
        <f t="shared" si="26"/>
        <v>3998467.5700000003</v>
      </c>
      <c r="AH123" s="12">
        <f t="shared" si="27"/>
        <v>3990596.5700000003</v>
      </c>
      <c r="AI123" s="12">
        <f t="shared" si="28"/>
        <v>3982725.5700000003</v>
      </c>
      <c r="AJ123" s="12">
        <f t="shared" si="29"/>
        <v>3974854.5700000003</v>
      </c>
      <c r="AK123" s="12">
        <f t="shared" si="41"/>
        <v>3966983.5700000003</v>
      </c>
      <c r="AL123" s="12">
        <f t="shared" si="41"/>
        <v>3959112.5700000003</v>
      </c>
      <c r="AM123" s="12">
        <f t="shared" si="41"/>
        <v>3951241.5700000003</v>
      </c>
      <c r="AN123" s="12">
        <f t="shared" si="41"/>
        <v>3943370.5700000003</v>
      </c>
      <c r="AO123" s="12">
        <f t="shared" si="41"/>
        <v>3935499.5700000003</v>
      </c>
      <c r="AP123" s="12">
        <f t="shared" si="41"/>
        <v>3927628.5700000003</v>
      </c>
      <c r="AQ123" s="12">
        <f t="shared" si="41"/>
        <v>3919757.5700000003</v>
      </c>
      <c r="AR123" s="17">
        <f t="shared" si="41"/>
        <v>3911886.5700000003</v>
      </c>
      <c r="AS123" s="12">
        <f t="shared" si="34"/>
        <v>59386.69</v>
      </c>
      <c r="AT123" s="12">
        <f t="shared" si="30"/>
        <v>60132.44</v>
      </c>
      <c r="AU123" s="12">
        <f t="shared" si="31"/>
        <v>7871</v>
      </c>
      <c r="AV123" s="18">
        <f t="shared" si="35"/>
        <v>5011.04</v>
      </c>
      <c r="AW123" s="17">
        <f t="shared" si="32"/>
        <v>7871</v>
      </c>
      <c r="AX123" s="12"/>
      <c r="AY123" s="12"/>
      <c r="AZ123" s="19"/>
      <c r="BA123" s="20"/>
      <c r="BB123" s="20"/>
      <c r="BC123" s="20"/>
      <c r="BD123" s="20"/>
    </row>
    <row r="124" spans="1:56" s="21" customFormat="1" ht="36" x14ac:dyDescent="0.25">
      <c r="A124" s="7"/>
      <c r="B124" s="7">
        <v>156</v>
      </c>
      <c r="C124" s="7" t="s">
        <v>235</v>
      </c>
      <c r="D124" s="7" t="s">
        <v>236</v>
      </c>
      <c r="E124" s="7" t="s">
        <v>237</v>
      </c>
      <c r="F124" s="34">
        <v>81</v>
      </c>
      <c r="G124" s="7">
        <v>427</v>
      </c>
      <c r="H124" s="9" t="str">
        <f t="shared" si="39"/>
        <v>Жилой комплекс Общежитие, Республики 81 - 427</v>
      </c>
      <c r="I124" s="10">
        <v>1</v>
      </c>
      <c r="J124" s="11">
        <v>4236780</v>
      </c>
      <c r="K124" s="11"/>
      <c r="L124" s="12">
        <v>3933760.2499999944</v>
      </c>
      <c r="M124" s="12">
        <f t="shared" si="38"/>
        <v>3933760.2499999944</v>
      </c>
      <c r="N124" s="10">
        <v>1</v>
      </c>
      <c r="O124" s="10">
        <v>27.1</v>
      </c>
      <c r="P124" s="10">
        <v>23.7</v>
      </c>
      <c r="Q124" s="10"/>
      <c r="R124" s="10"/>
      <c r="S124" s="10"/>
      <c r="T124" s="10"/>
      <c r="U124" s="13" t="s">
        <v>268</v>
      </c>
      <c r="V124" s="14" t="s">
        <v>56</v>
      </c>
      <c r="W124" s="7"/>
      <c r="X124" s="7"/>
      <c r="Y124" s="15"/>
      <c r="Z124" s="15">
        <v>19.3</v>
      </c>
      <c r="AA124" s="15" t="s">
        <v>89</v>
      </c>
      <c r="AB124" s="15">
        <f t="shared" si="22"/>
        <v>1.4</v>
      </c>
      <c r="AC124" s="16">
        <f t="shared" si="23"/>
        <v>27.02</v>
      </c>
      <c r="AD124" s="12">
        <f t="shared" si="24"/>
        <v>732.24</v>
      </c>
      <c r="AE124" s="15">
        <v>7728.41</v>
      </c>
      <c r="AF124" s="12">
        <f t="shared" si="25"/>
        <v>3933760.2499999944</v>
      </c>
      <c r="AG124" s="12">
        <f t="shared" si="26"/>
        <v>3926031.8399999943</v>
      </c>
      <c r="AH124" s="12">
        <f t="shared" si="27"/>
        <v>3918303.4299999941</v>
      </c>
      <c r="AI124" s="12">
        <f t="shared" si="28"/>
        <v>3910575.019999994</v>
      </c>
      <c r="AJ124" s="12">
        <f t="shared" si="29"/>
        <v>3902846.6099999938</v>
      </c>
      <c r="AK124" s="12">
        <f t="shared" si="41"/>
        <v>3895118.1999999937</v>
      </c>
      <c r="AL124" s="12">
        <f t="shared" si="41"/>
        <v>3887389.7899999935</v>
      </c>
      <c r="AM124" s="12">
        <f t="shared" si="41"/>
        <v>3879661.3799999934</v>
      </c>
      <c r="AN124" s="12">
        <f t="shared" si="41"/>
        <v>3871932.9699999932</v>
      </c>
      <c r="AO124" s="12">
        <f t="shared" si="41"/>
        <v>3864204.5599999931</v>
      </c>
      <c r="AP124" s="12">
        <f t="shared" si="41"/>
        <v>3856476.1499999929</v>
      </c>
      <c r="AQ124" s="12">
        <f t="shared" si="41"/>
        <v>3848747.7399999928</v>
      </c>
      <c r="AR124" s="17">
        <f t="shared" si="41"/>
        <v>3841019.3299999926</v>
      </c>
      <c r="AS124" s="12">
        <f t="shared" si="34"/>
        <v>58310.85</v>
      </c>
      <c r="AT124" s="12">
        <f t="shared" si="30"/>
        <v>59043.09</v>
      </c>
      <c r="AU124" s="12">
        <f t="shared" si="31"/>
        <v>7728.41</v>
      </c>
      <c r="AV124" s="18">
        <f t="shared" si="35"/>
        <v>4920.26</v>
      </c>
      <c r="AW124" s="17">
        <f t="shared" si="32"/>
        <v>7728.41</v>
      </c>
      <c r="AX124" s="12"/>
      <c r="AY124" s="12"/>
      <c r="AZ124" s="19"/>
      <c r="BA124" s="20"/>
      <c r="BB124" s="20"/>
      <c r="BC124" s="20"/>
      <c r="BD124" s="20"/>
    </row>
    <row r="125" spans="1:56" s="104" customFormat="1" ht="36" x14ac:dyDescent="0.25">
      <c r="A125" s="90"/>
      <c r="B125" s="90">
        <v>157</v>
      </c>
      <c r="C125" s="90" t="s">
        <v>235</v>
      </c>
      <c r="D125" s="90" t="s">
        <v>236</v>
      </c>
      <c r="E125" s="90" t="s">
        <v>237</v>
      </c>
      <c r="F125" s="91">
        <v>81</v>
      </c>
      <c r="G125" s="90">
        <v>501</v>
      </c>
      <c r="H125" s="90" t="str">
        <f t="shared" si="39"/>
        <v>Жилой комплекс Общежитие, Республики 81 - 501</v>
      </c>
      <c r="I125" s="89">
        <v>1</v>
      </c>
      <c r="J125" s="93">
        <v>4185797</v>
      </c>
      <c r="K125" s="93"/>
      <c r="L125" s="94">
        <v>3929642.0700000054</v>
      </c>
      <c r="M125" s="94">
        <f t="shared" si="38"/>
        <v>3929642.0700000054</v>
      </c>
      <c r="N125" s="89">
        <v>1</v>
      </c>
      <c r="O125" s="89">
        <v>27.5</v>
      </c>
      <c r="P125" s="89">
        <v>23.8</v>
      </c>
      <c r="Q125" s="89"/>
      <c r="R125" s="89"/>
      <c r="S125" s="89"/>
      <c r="T125" s="89"/>
      <c r="U125" s="97" t="s">
        <v>269</v>
      </c>
      <c r="V125" s="98" t="s">
        <v>56</v>
      </c>
      <c r="W125" s="90"/>
      <c r="X125" s="90"/>
      <c r="Y125" s="99"/>
      <c r="Z125" s="99">
        <v>19.3</v>
      </c>
      <c r="AA125" s="99" t="s">
        <v>89</v>
      </c>
      <c r="AB125" s="99">
        <f t="shared" si="22"/>
        <v>1.4</v>
      </c>
      <c r="AC125" s="100">
        <f t="shared" si="23"/>
        <v>27.02</v>
      </c>
      <c r="AD125" s="94">
        <f t="shared" si="24"/>
        <v>743.05</v>
      </c>
      <c r="AE125" s="99">
        <v>7720.32</v>
      </c>
      <c r="AF125" s="94">
        <f t="shared" si="25"/>
        <v>3929642.0700000054</v>
      </c>
      <c r="AG125" s="94">
        <f t="shared" si="26"/>
        <v>3921921.7500000056</v>
      </c>
      <c r="AH125" s="94">
        <f t="shared" si="27"/>
        <v>3914201.4300000058</v>
      </c>
      <c r="AI125" s="94">
        <f t="shared" si="28"/>
        <v>3906481.1100000059</v>
      </c>
      <c r="AJ125" s="94">
        <f t="shared" si="29"/>
        <v>3898760.7900000061</v>
      </c>
      <c r="AK125" s="94">
        <f t="shared" si="41"/>
        <v>3891040.4700000063</v>
      </c>
      <c r="AL125" s="94">
        <f t="shared" si="41"/>
        <v>3883320.1500000064</v>
      </c>
      <c r="AM125" s="94">
        <f t="shared" si="41"/>
        <v>3875599.8300000066</v>
      </c>
      <c r="AN125" s="94">
        <f t="shared" si="41"/>
        <v>3867879.5100000068</v>
      </c>
      <c r="AO125" s="94">
        <f t="shared" si="41"/>
        <v>3860159.1900000069</v>
      </c>
      <c r="AP125" s="94">
        <f t="shared" si="41"/>
        <v>3852438.8700000071</v>
      </c>
      <c r="AQ125" s="94">
        <f t="shared" si="41"/>
        <v>3844718.5500000073</v>
      </c>
      <c r="AR125" s="94">
        <f t="shared" si="41"/>
        <v>3836998.2300000074</v>
      </c>
      <c r="AS125" s="94">
        <f t="shared" si="34"/>
        <v>58249.8</v>
      </c>
      <c r="AT125" s="94">
        <f t="shared" si="30"/>
        <v>58992.850000000006</v>
      </c>
      <c r="AU125" s="94">
        <f t="shared" si="31"/>
        <v>7720.32</v>
      </c>
      <c r="AV125" s="101">
        <f t="shared" si="35"/>
        <v>4916.07</v>
      </c>
      <c r="AW125" s="94">
        <f t="shared" si="32"/>
        <v>7720.32</v>
      </c>
      <c r="AX125" s="94"/>
      <c r="AY125" s="94"/>
      <c r="AZ125" s="102"/>
      <c r="BA125" s="103"/>
      <c r="BB125" s="103"/>
      <c r="BC125" s="103"/>
      <c r="BD125" s="103"/>
    </row>
    <row r="126" spans="1:56" s="21" customFormat="1" ht="36" x14ac:dyDescent="0.25">
      <c r="A126" s="7"/>
      <c r="B126" s="7">
        <v>158</v>
      </c>
      <c r="C126" s="7" t="s">
        <v>235</v>
      </c>
      <c r="D126" s="7" t="s">
        <v>236</v>
      </c>
      <c r="E126" s="7" t="s">
        <v>237</v>
      </c>
      <c r="F126" s="34">
        <v>81</v>
      </c>
      <c r="G126" s="7">
        <v>502</v>
      </c>
      <c r="H126" s="9" t="str">
        <f t="shared" si="39"/>
        <v>Жилой комплекс Общежитие, Республики 81 - 502</v>
      </c>
      <c r="I126" s="10">
        <v>1</v>
      </c>
      <c r="J126" s="11">
        <v>4094471</v>
      </c>
      <c r="K126" s="11"/>
      <c r="L126" s="12">
        <v>3843904.7300000042</v>
      </c>
      <c r="M126" s="12">
        <f t="shared" si="38"/>
        <v>3843904.7300000042</v>
      </c>
      <c r="N126" s="10">
        <v>1</v>
      </c>
      <c r="O126" s="10">
        <v>26.9</v>
      </c>
      <c r="P126" s="10">
        <v>23.3</v>
      </c>
      <c r="Q126" s="10"/>
      <c r="R126" s="10"/>
      <c r="S126" s="10"/>
      <c r="T126" s="10"/>
      <c r="U126" s="13" t="s">
        <v>270</v>
      </c>
      <c r="V126" s="14" t="s">
        <v>56</v>
      </c>
      <c r="W126" s="7"/>
      <c r="X126" s="7"/>
      <c r="Y126" s="15"/>
      <c r="Z126" s="15">
        <v>19.3</v>
      </c>
      <c r="AA126" s="15" t="s">
        <v>89</v>
      </c>
      <c r="AB126" s="15">
        <f t="shared" si="22"/>
        <v>1.4</v>
      </c>
      <c r="AC126" s="16">
        <f t="shared" si="23"/>
        <v>27.02</v>
      </c>
      <c r="AD126" s="12">
        <f t="shared" si="24"/>
        <v>726.84</v>
      </c>
      <c r="AE126" s="15">
        <v>7551.88</v>
      </c>
      <c r="AF126" s="12">
        <f t="shared" si="25"/>
        <v>3843904.7300000042</v>
      </c>
      <c r="AG126" s="12">
        <f t="shared" si="26"/>
        <v>3836352.8500000043</v>
      </c>
      <c r="AH126" s="12">
        <f t="shared" si="27"/>
        <v>3828800.9700000044</v>
      </c>
      <c r="AI126" s="12">
        <f t="shared" si="28"/>
        <v>3821249.0900000045</v>
      </c>
      <c r="AJ126" s="12">
        <f t="shared" si="29"/>
        <v>3813697.2100000046</v>
      </c>
      <c r="AK126" s="12">
        <f t="shared" si="41"/>
        <v>3806145.3300000047</v>
      </c>
      <c r="AL126" s="12">
        <f t="shared" si="41"/>
        <v>3798593.4500000048</v>
      </c>
      <c r="AM126" s="12">
        <f t="shared" si="41"/>
        <v>3791041.570000005</v>
      </c>
      <c r="AN126" s="12">
        <f t="shared" si="41"/>
        <v>3783489.6900000051</v>
      </c>
      <c r="AO126" s="12">
        <f t="shared" si="41"/>
        <v>3775937.8100000052</v>
      </c>
      <c r="AP126" s="12">
        <f t="shared" si="41"/>
        <v>3768385.9300000053</v>
      </c>
      <c r="AQ126" s="12">
        <f t="shared" si="41"/>
        <v>3760834.0500000054</v>
      </c>
      <c r="AR126" s="17">
        <f t="shared" si="41"/>
        <v>3753282.1700000055</v>
      </c>
      <c r="AS126" s="12">
        <f t="shared" si="34"/>
        <v>56978.9</v>
      </c>
      <c r="AT126" s="12">
        <f t="shared" si="30"/>
        <v>57705.74</v>
      </c>
      <c r="AU126" s="12">
        <f t="shared" si="31"/>
        <v>7551.88</v>
      </c>
      <c r="AV126" s="18">
        <f t="shared" si="35"/>
        <v>4808.8100000000004</v>
      </c>
      <c r="AW126" s="17">
        <f t="shared" si="32"/>
        <v>7551.88</v>
      </c>
      <c r="AX126" s="12"/>
      <c r="AY126" s="12"/>
      <c r="AZ126" s="19"/>
      <c r="BA126" s="20"/>
      <c r="BB126" s="20"/>
      <c r="BC126" s="20"/>
      <c r="BD126" s="20"/>
    </row>
    <row r="127" spans="1:56" s="21" customFormat="1" ht="36" x14ac:dyDescent="0.25">
      <c r="A127" s="90"/>
      <c r="B127" s="90">
        <v>159</v>
      </c>
      <c r="C127" s="90" t="s">
        <v>235</v>
      </c>
      <c r="D127" s="90" t="s">
        <v>236</v>
      </c>
      <c r="E127" s="90" t="s">
        <v>237</v>
      </c>
      <c r="F127" s="91">
        <v>81</v>
      </c>
      <c r="G127" s="90">
        <v>507</v>
      </c>
      <c r="H127" s="90" t="str">
        <f t="shared" si="39"/>
        <v>Жилой комплекс Общежитие, Республики 81 - 507</v>
      </c>
      <c r="I127" s="89">
        <v>1</v>
      </c>
      <c r="J127" s="93">
        <v>5236052</v>
      </c>
      <c r="K127" s="93"/>
      <c r="L127" s="94">
        <v>4915625.6100000031</v>
      </c>
      <c r="M127" s="94">
        <f t="shared" si="38"/>
        <v>4915625.6100000031</v>
      </c>
      <c r="N127" s="89">
        <v>1</v>
      </c>
      <c r="O127" s="89">
        <v>34.4</v>
      </c>
      <c r="P127" s="89">
        <v>30.5</v>
      </c>
      <c r="Q127" s="89"/>
      <c r="R127" s="89"/>
      <c r="S127" s="89"/>
      <c r="T127" s="89"/>
      <c r="U127" s="97" t="s">
        <v>271</v>
      </c>
      <c r="V127" s="98" t="s">
        <v>56</v>
      </c>
      <c r="W127" s="90"/>
      <c r="X127" s="90"/>
      <c r="Y127" s="99"/>
      <c r="Z127" s="99">
        <v>19.3</v>
      </c>
      <c r="AA127" s="99" t="s">
        <v>89</v>
      </c>
      <c r="AB127" s="99">
        <f t="shared" si="22"/>
        <v>1.4</v>
      </c>
      <c r="AC127" s="100">
        <f t="shared" si="23"/>
        <v>27.02</v>
      </c>
      <c r="AD127" s="94">
        <f t="shared" si="24"/>
        <v>929.49</v>
      </c>
      <c r="AE127" s="99">
        <v>9657.42</v>
      </c>
      <c r="AF127" s="94">
        <f t="shared" si="25"/>
        <v>4915625.6100000031</v>
      </c>
      <c r="AG127" s="94">
        <f t="shared" si="26"/>
        <v>4905968.1900000032</v>
      </c>
      <c r="AH127" s="94">
        <f t="shared" si="27"/>
        <v>4896310.7700000033</v>
      </c>
      <c r="AI127" s="94">
        <f t="shared" si="28"/>
        <v>4886653.3500000034</v>
      </c>
      <c r="AJ127" s="94">
        <f t="shared" si="29"/>
        <v>4876995.9300000034</v>
      </c>
      <c r="AK127" s="94">
        <f t="shared" si="41"/>
        <v>4867338.5100000035</v>
      </c>
      <c r="AL127" s="94">
        <f t="shared" si="41"/>
        <v>4857681.0900000036</v>
      </c>
      <c r="AM127" s="94">
        <f t="shared" si="41"/>
        <v>4848023.6700000037</v>
      </c>
      <c r="AN127" s="94">
        <f t="shared" si="41"/>
        <v>4838366.2500000037</v>
      </c>
      <c r="AO127" s="94">
        <f t="shared" si="41"/>
        <v>4828708.8300000038</v>
      </c>
      <c r="AP127" s="94">
        <f t="shared" si="41"/>
        <v>4819051.4100000039</v>
      </c>
      <c r="AQ127" s="94">
        <f t="shared" si="41"/>
        <v>4809393.9900000039</v>
      </c>
      <c r="AR127" s="94">
        <f t="shared" si="41"/>
        <v>4799736.570000004</v>
      </c>
      <c r="AS127" s="94">
        <f t="shared" si="34"/>
        <v>72865.22</v>
      </c>
      <c r="AT127" s="94">
        <f t="shared" si="30"/>
        <v>73794.710000000006</v>
      </c>
      <c r="AU127" s="94">
        <f t="shared" si="31"/>
        <v>9657.42</v>
      </c>
      <c r="AV127" s="101">
        <f t="shared" si="35"/>
        <v>6149.56</v>
      </c>
      <c r="AW127" s="94">
        <f t="shared" si="32"/>
        <v>9657.42</v>
      </c>
      <c r="AX127" s="94"/>
      <c r="AY127" s="94"/>
      <c r="AZ127" s="102"/>
      <c r="BA127" s="103"/>
      <c r="BB127" s="103"/>
      <c r="BC127" s="103"/>
      <c r="BD127" s="103"/>
    </row>
    <row r="128" spans="1:56" s="21" customFormat="1" ht="36" x14ac:dyDescent="0.25">
      <c r="A128" s="7"/>
      <c r="B128" s="7">
        <v>160</v>
      </c>
      <c r="C128" s="7" t="s">
        <v>235</v>
      </c>
      <c r="D128" s="7" t="s">
        <v>236</v>
      </c>
      <c r="E128" s="7" t="s">
        <v>237</v>
      </c>
      <c r="F128" s="34">
        <v>81</v>
      </c>
      <c r="G128" s="7">
        <v>508</v>
      </c>
      <c r="H128" s="9" t="str">
        <f t="shared" si="39"/>
        <v>Жилой комплекс Общежитие, Республики 81 - 508</v>
      </c>
      <c r="I128" s="10">
        <v>1</v>
      </c>
      <c r="J128" s="11">
        <v>4155355</v>
      </c>
      <c r="K128" s="11"/>
      <c r="L128" s="12">
        <v>3901063.2700000028</v>
      </c>
      <c r="M128" s="12">
        <f t="shared" si="38"/>
        <v>3901063.2700000028</v>
      </c>
      <c r="N128" s="10">
        <v>1</v>
      </c>
      <c r="O128" s="10">
        <f>27.3</f>
        <v>27.3</v>
      </c>
      <c r="P128" s="10">
        <v>20.7</v>
      </c>
      <c r="Q128" s="10"/>
      <c r="R128" s="10"/>
      <c r="S128" s="10"/>
      <c r="T128" s="10"/>
      <c r="U128" s="13" t="s">
        <v>272</v>
      </c>
      <c r="V128" s="14" t="s">
        <v>56</v>
      </c>
      <c r="W128" s="7"/>
      <c r="X128" s="7"/>
      <c r="Y128" s="15"/>
      <c r="Z128" s="15">
        <v>19.3</v>
      </c>
      <c r="AA128" s="15" t="s">
        <v>89</v>
      </c>
      <c r="AB128" s="15">
        <f t="shared" si="22"/>
        <v>1.4</v>
      </c>
      <c r="AC128" s="16">
        <f t="shared" si="23"/>
        <v>27.02</v>
      </c>
      <c r="AD128" s="12">
        <f t="shared" si="24"/>
        <v>737.65</v>
      </c>
      <c r="AE128" s="15">
        <v>7664.17</v>
      </c>
      <c r="AF128" s="12">
        <f t="shared" si="25"/>
        <v>3901063.2700000028</v>
      </c>
      <c r="AG128" s="12">
        <f t="shared" si="26"/>
        <v>3893399.1000000029</v>
      </c>
      <c r="AH128" s="12">
        <f t="shared" si="27"/>
        <v>3885734.930000003</v>
      </c>
      <c r="AI128" s="12">
        <f t="shared" si="28"/>
        <v>3878070.760000003</v>
      </c>
      <c r="AJ128" s="12">
        <f t="shared" si="29"/>
        <v>3870406.5900000031</v>
      </c>
      <c r="AK128" s="12">
        <f t="shared" si="41"/>
        <v>3862742.4200000032</v>
      </c>
      <c r="AL128" s="12">
        <f t="shared" si="41"/>
        <v>3855078.2500000033</v>
      </c>
      <c r="AM128" s="12">
        <f t="shared" si="41"/>
        <v>3847414.0800000033</v>
      </c>
      <c r="AN128" s="12">
        <f t="shared" si="41"/>
        <v>3839749.9100000034</v>
      </c>
      <c r="AO128" s="12">
        <f t="shared" si="41"/>
        <v>3832085.7400000035</v>
      </c>
      <c r="AP128" s="12">
        <f t="shared" si="41"/>
        <v>3824421.5700000036</v>
      </c>
      <c r="AQ128" s="12">
        <f t="shared" si="41"/>
        <v>3816757.4000000036</v>
      </c>
      <c r="AR128" s="17">
        <f t="shared" si="41"/>
        <v>3809093.2300000037</v>
      </c>
      <c r="AS128" s="12">
        <f t="shared" si="34"/>
        <v>57826.17</v>
      </c>
      <c r="AT128" s="12">
        <f t="shared" si="30"/>
        <v>58563.82</v>
      </c>
      <c r="AU128" s="12">
        <f t="shared" si="31"/>
        <v>7664.17</v>
      </c>
      <c r="AV128" s="18">
        <f t="shared" si="35"/>
        <v>4880.32</v>
      </c>
      <c r="AW128" s="17">
        <f t="shared" si="32"/>
        <v>7664.17</v>
      </c>
      <c r="AX128" s="12"/>
      <c r="AY128" s="12"/>
      <c r="AZ128" s="19"/>
      <c r="BA128" s="20"/>
      <c r="BB128" s="20"/>
      <c r="BC128" s="20"/>
      <c r="BD128" s="20"/>
    </row>
    <row r="129" spans="1:56" s="64" customFormat="1" ht="48" x14ac:dyDescent="0.25">
      <c r="A129" s="49"/>
      <c r="B129" s="49">
        <v>161</v>
      </c>
      <c r="C129" s="49" t="s">
        <v>235</v>
      </c>
      <c r="D129" s="49" t="s">
        <v>236</v>
      </c>
      <c r="E129" s="49" t="s">
        <v>237</v>
      </c>
      <c r="F129" s="50">
        <v>81</v>
      </c>
      <c r="G129" s="49">
        <v>509</v>
      </c>
      <c r="H129" s="49" t="str">
        <f t="shared" si="39"/>
        <v>Жилой комплекс Общежитие, Республики 81 - 509</v>
      </c>
      <c r="I129" s="51">
        <v>1</v>
      </c>
      <c r="J129" s="52">
        <v>5692684</v>
      </c>
      <c r="K129" s="52"/>
      <c r="L129" s="53">
        <v>5344313.5800000038</v>
      </c>
      <c r="M129" s="53">
        <f t="shared" si="38"/>
        <v>5344313.5800000038</v>
      </c>
      <c r="N129" s="51">
        <v>1</v>
      </c>
      <c r="O129" s="51">
        <v>37.4</v>
      </c>
      <c r="P129" s="51">
        <v>33.5</v>
      </c>
      <c r="Q129" s="51"/>
      <c r="R129" s="51"/>
      <c r="S129" s="51"/>
      <c r="T129" s="51"/>
      <c r="U129" s="22" t="s">
        <v>273</v>
      </c>
      <c r="V129" s="58" t="s">
        <v>56</v>
      </c>
      <c r="W129" s="49"/>
      <c r="X129" s="49"/>
      <c r="Y129" s="59"/>
      <c r="Z129" s="59">
        <v>19.3</v>
      </c>
      <c r="AA129" s="59" t="s">
        <v>89</v>
      </c>
      <c r="AB129" s="59">
        <f t="shared" si="22"/>
        <v>1.4</v>
      </c>
      <c r="AC129" s="60">
        <f t="shared" si="23"/>
        <v>27.02</v>
      </c>
      <c r="AD129" s="53">
        <f t="shared" si="24"/>
        <v>1010.55</v>
      </c>
      <c r="AE129" s="59">
        <v>10499.63</v>
      </c>
      <c r="AF129" s="53">
        <f t="shared" si="25"/>
        <v>5344313.5800000038</v>
      </c>
      <c r="AG129" s="53">
        <f t="shared" si="26"/>
        <v>5333813.9500000039</v>
      </c>
      <c r="AH129" s="53">
        <f t="shared" si="27"/>
        <v>5323314.320000004</v>
      </c>
      <c r="AI129" s="53">
        <f t="shared" si="28"/>
        <v>5312814.6900000041</v>
      </c>
      <c r="AJ129" s="53">
        <f t="shared" si="29"/>
        <v>5302315.0600000042</v>
      </c>
      <c r="AK129" s="53">
        <f t="shared" si="41"/>
        <v>5291815.4300000044</v>
      </c>
      <c r="AL129" s="53">
        <f t="shared" si="41"/>
        <v>5281315.8000000045</v>
      </c>
      <c r="AM129" s="53">
        <f t="shared" si="41"/>
        <v>5270816.1700000046</v>
      </c>
      <c r="AN129" s="53">
        <f t="shared" si="41"/>
        <v>5260316.5400000047</v>
      </c>
      <c r="AO129" s="53">
        <f t="shared" si="41"/>
        <v>5249816.9100000048</v>
      </c>
      <c r="AP129" s="53">
        <f t="shared" si="41"/>
        <v>5239317.2800000049</v>
      </c>
      <c r="AQ129" s="53">
        <f t="shared" si="41"/>
        <v>5228817.650000005</v>
      </c>
      <c r="AR129" s="53">
        <f t="shared" si="41"/>
        <v>5218318.0200000051</v>
      </c>
      <c r="AS129" s="53">
        <f t="shared" si="34"/>
        <v>79219.740000000005</v>
      </c>
      <c r="AT129" s="53">
        <f t="shared" si="30"/>
        <v>80230.290000000008</v>
      </c>
      <c r="AU129" s="53">
        <f t="shared" si="31"/>
        <v>10499.63</v>
      </c>
      <c r="AV129" s="61">
        <f t="shared" si="35"/>
        <v>6685.86</v>
      </c>
      <c r="AW129" s="53">
        <f t="shared" si="32"/>
        <v>10499.63</v>
      </c>
      <c r="AX129" s="53"/>
      <c r="AY129" s="53"/>
      <c r="AZ129" s="62"/>
      <c r="BA129" s="63"/>
      <c r="BB129" s="63"/>
      <c r="BC129" s="63"/>
      <c r="BD129" s="63"/>
    </row>
    <row r="130" spans="1:56" s="21" customFormat="1" ht="36" x14ac:dyDescent="0.25">
      <c r="A130" s="7"/>
      <c r="B130" s="7">
        <v>162</v>
      </c>
      <c r="C130" s="7" t="s">
        <v>235</v>
      </c>
      <c r="D130" s="7" t="s">
        <v>236</v>
      </c>
      <c r="E130" s="7" t="s">
        <v>237</v>
      </c>
      <c r="F130" s="34">
        <v>81</v>
      </c>
      <c r="G130" s="7">
        <v>510</v>
      </c>
      <c r="H130" s="9" t="str">
        <f t="shared" si="39"/>
        <v>Жилой комплекс Общежитие, Республики 81 - 510</v>
      </c>
      <c r="I130" s="10">
        <v>1</v>
      </c>
      <c r="J130" s="11">
        <v>4277124</v>
      </c>
      <c r="K130" s="11"/>
      <c r="L130" s="12">
        <v>4015380.5200000079</v>
      </c>
      <c r="M130" s="12">
        <f t="shared" si="38"/>
        <v>4015380.5200000079</v>
      </c>
      <c r="N130" s="10">
        <v>1</v>
      </c>
      <c r="O130" s="10">
        <f>28.1</f>
        <v>28.1</v>
      </c>
      <c r="P130" s="10">
        <v>24.4</v>
      </c>
      <c r="Q130" s="10"/>
      <c r="R130" s="129"/>
      <c r="S130" s="129"/>
      <c r="T130" s="131"/>
      <c r="U130" s="13" t="s">
        <v>274</v>
      </c>
      <c r="V130" s="10" t="s">
        <v>56</v>
      </c>
      <c r="W130" s="7"/>
      <c r="X130" s="7"/>
      <c r="Y130" s="15"/>
      <c r="Z130" s="15">
        <v>19.3</v>
      </c>
      <c r="AA130" s="15" t="s">
        <v>89</v>
      </c>
      <c r="AB130" s="15">
        <f t="shared" si="22"/>
        <v>1.4</v>
      </c>
      <c r="AC130" s="16">
        <f t="shared" si="23"/>
        <v>27.02</v>
      </c>
      <c r="AD130" s="12">
        <f t="shared" si="24"/>
        <v>759.26</v>
      </c>
      <c r="AE130" s="15">
        <v>7888.76</v>
      </c>
      <c r="AF130" s="12">
        <f t="shared" si="25"/>
        <v>4015380.5200000079</v>
      </c>
      <c r="AG130" s="12">
        <f t="shared" si="26"/>
        <v>4007491.7600000082</v>
      </c>
      <c r="AH130" s="12">
        <f t="shared" si="27"/>
        <v>3999603.0000000084</v>
      </c>
      <c r="AI130" s="12">
        <f t="shared" si="28"/>
        <v>3991714.2400000086</v>
      </c>
      <c r="AJ130" s="12">
        <f t="shared" si="29"/>
        <v>3983825.4800000088</v>
      </c>
      <c r="AK130" s="12">
        <f t="shared" si="41"/>
        <v>3975936.7200000091</v>
      </c>
      <c r="AL130" s="12">
        <f t="shared" si="41"/>
        <v>3968047.9600000093</v>
      </c>
      <c r="AM130" s="12">
        <f t="shared" si="41"/>
        <v>3960159.2000000095</v>
      </c>
      <c r="AN130" s="12">
        <f t="shared" si="41"/>
        <v>3952270.4400000097</v>
      </c>
      <c r="AO130" s="12">
        <f t="shared" si="41"/>
        <v>3944381.6800000099</v>
      </c>
      <c r="AP130" s="12">
        <f t="shared" si="41"/>
        <v>3936492.9200000102</v>
      </c>
      <c r="AQ130" s="12">
        <f t="shared" si="41"/>
        <v>3928604.1600000104</v>
      </c>
      <c r="AR130" s="17">
        <f t="shared" si="41"/>
        <v>3920715.4000000106</v>
      </c>
      <c r="AS130" s="12">
        <f t="shared" si="34"/>
        <v>59520.72</v>
      </c>
      <c r="AT130" s="12">
        <f t="shared" si="30"/>
        <v>60279.98</v>
      </c>
      <c r="AU130" s="12">
        <f t="shared" si="31"/>
        <v>7888.76</v>
      </c>
      <c r="AV130" s="18">
        <f t="shared" si="35"/>
        <v>5023.33</v>
      </c>
      <c r="AW130" s="17">
        <f t="shared" si="32"/>
        <v>7888.76</v>
      </c>
      <c r="AX130" s="12"/>
      <c r="AY130" s="12"/>
      <c r="AZ130" s="19"/>
      <c r="BA130" s="20"/>
      <c r="BB130" s="20"/>
      <c r="BC130" s="20"/>
      <c r="BD130" s="20"/>
    </row>
    <row r="131" spans="1:56" s="21" customFormat="1" ht="36" x14ac:dyDescent="0.25">
      <c r="A131" s="7"/>
      <c r="B131" s="7">
        <v>163</v>
      </c>
      <c r="C131" s="7" t="s">
        <v>235</v>
      </c>
      <c r="D131" s="7" t="s">
        <v>236</v>
      </c>
      <c r="E131" s="7" t="s">
        <v>237</v>
      </c>
      <c r="F131" s="34">
        <v>81</v>
      </c>
      <c r="G131" s="7">
        <v>511</v>
      </c>
      <c r="H131" s="9" t="str">
        <f t="shared" si="39"/>
        <v>Жилой комплекс Общежитие, Республики 81 - 511</v>
      </c>
      <c r="I131" s="10">
        <v>1</v>
      </c>
      <c r="J131" s="11">
        <v>4124913</v>
      </c>
      <c r="K131" s="11"/>
      <c r="L131" s="12">
        <v>3872484.2799999993</v>
      </c>
      <c r="M131" s="12">
        <f t="shared" si="38"/>
        <v>3872484.2799999993</v>
      </c>
      <c r="N131" s="10">
        <v>1</v>
      </c>
      <c r="O131" s="10">
        <v>27.1</v>
      </c>
      <c r="P131" s="10">
        <v>23.3</v>
      </c>
      <c r="Q131" s="10"/>
      <c r="R131" s="10"/>
      <c r="S131" s="10"/>
      <c r="T131" s="10"/>
      <c r="U131" s="13" t="s">
        <v>275</v>
      </c>
      <c r="V131" s="14" t="s">
        <v>56</v>
      </c>
      <c r="W131" s="7"/>
      <c r="X131" s="7"/>
      <c r="Y131" s="15"/>
      <c r="Z131" s="15">
        <v>19.3</v>
      </c>
      <c r="AA131" s="15" t="s">
        <v>89</v>
      </c>
      <c r="AB131" s="15">
        <f t="shared" ref="AB131:AB171" si="42">IF(AA131="Зона 1", 1.5,IF(AA131="Зона 2",1.4,IF(AA131="Зона 3",1.2,IF(AA131="Зона 4",1,IF(AA131="Зона 5",0.7,IF(AA131="Зона 6",0.5,"Укажи зону"))))))</f>
        <v>1.4</v>
      </c>
      <c r="AC131" s="16">
        <f t="shared" ref="AC131:AC171" si="43">Z131*AB131</f>
        <v>27.02</v>
      </c>
      <c r="AD131" s="12">
        <f t="shared" ref="AD131:AD171" si="44">IF(V131="Нет",ROUND(AC131*O131,2),ROUND(AC131*T131,2))</f>
        <v>732.24</v>
      </c>
      <c r="AE131" s="15">
        <v>7608.02</v>
      </c>
      <c r="AF131" s="12">
        <f t="shared" ref="AF131:AF139" si="45">M131</f>
        <v>3872484.2799999993</v>
      </c>
      <c r="AG131" s="12">
        <f t="shared" ref="AG131:AG139" si="46">AF131-AE131</f>
        <v>3864876.2599999993</v>
      </c>
      <c r="AH131" s="12">
        <f t="shared" ref="AH131:AH139" si="47">AG131-AE131</f>
        <v>3857268.2399999993</v>
      </c>
      <c r="AI131" s="12">
        <f t="shared" ref="AI131:AI139" si="48">AH131-AE131</f>
        <v>3849660.2199999993</v>
      </c>
      <c r="AJ131" s="12">
        <f t="shared" ref="AJ131:AJ139" si="49">AI131-AE131</f>
        <v>3842052.1999999993</v>
      </c>
      <c r="AK131" s="12">
        <f t="shared" si="41"/>
        <v>3834444.1799999992</v>
      </c>
      <c r="AL131" s="12">
        <f t="shared" si="41"/>
        <v>3826836.1599999992</v>
      </c>
      <c r="AM131" s="12">
        <f t="shared" si="41"/>
        <v>3819228.1399999992</v>
      </c>
      <c r="AN131" s="12">
        <f t="shared" si="41"/>
        <v>3811620.1199999992</v>
      </c>
      <c r="AO131" s="12">
        <f t="shared" si="41"/>
        <v>3804012.0999999992</v>
      </c>
      <c r="AP131" s="12">
        <f t="shared" si="41"/>
        <v>3796404.0799999991</v>
      </c>
      <c r="AQ131" s="12">
        <f t="shared" si="41"/>
        <v>3788796.0599999991</v>
      </c>
      <c r="AR131" s="17">
        <f t="shared" si="41"/>
        <v>3781188.0399999991</v>
      </c>
      <c r="AS131" s="12">
        <f t="shared" si="34"/>
        <v>57402.54</v>
      </c>
      <c r="AT131" s="12">
        <f t="shared" ref="AT131:AT139" si="50">AS131+AD131</f>
        <v>58134.78</v>
      </c>
      <c r="AU131" s="12">
        <f t="shared" ref="AU131:AU139" si="51">AE131</f>
        <v>7608.02</v>
      </c>
      <c r="AV131" s="18">
        <f t="shared" si="35"/>
        <v>4844.57</v>
      </c>
      <c r="AW131" s="17">
        <f t="shared" ref="AW131:AW139" si="52">AU131</f>
        <v>7608.02</v>
      </c>
      <c r="AX131" s="12"/>
      <c r="AY131" s="12"/>
      <c r="AZ131" s="19"/>
      <c r="BA131" s="20"/>
      <c r="BB131" s="20"/>
      <c r="BC131" s="20"/>
      <c r="BD131" s="20"/>
    </row>
    <row r="132" spans="1:56" s="21" customFormat="1" ht="36" x14ac:dyDescent="0.25">
      <c r="A132" s="7"/>
      <c r="B132" s="7">
        <v>164</v>
      </c>
      <c r="C132" s="7" t="s">
        <v>235</v>
      </c>
      <c r="D132" s="7" t="s">
        <v>236</v>
      </c>
      <c r="E132" s="7" t="s">
        <v>237</v>
      </c>
      <c r="F132" s="34">
        <v>81</v>
      </c>
      <c r="G132" s="7">
        <v>512</v>
      </c>
      <c r="H132" s="9" t="str">
        <f t="shared" si="39"/>
        <v>Жилой комплекс Общежитие, Республики 81 - 512</v>
      </c>
      <c r="I132" s="10">
        <v>1</v>
      </c>
      <c r="J132" s="11">
        <v>3942260</v>
      </c>
      <c r="K132" s="11"/>
      <c r="L132" s="12">
        <v>3701008.6899999953</v>
      </c>
      <c r="M132" s="12">
        <f t="shared" si="38"/>
        <v>3701008.6899999953</v>
      </c>
      <c r="N132" s="10">
        <v>1</v>
      </c>
      <c r="O132" s="10">
        <v>25.9</v>
      </c>
      <c r="P132" s="10">
        <v>22.4</v>
      </c>
      <c r="Q132" s="10"/>
      <c r="R132" s="129"/>
      <c r="S132" s="129"/>
      <c r="T132" s="129"/>
      <c r="U132" s="13" t="s">
        <v>276</v>
      </c>
      <c r="V132" s="14" t="s">
        <v>56</v>
      </c>
      <c r="W132" s="7"/>
      <c r="X132" s="7"/>
      <c r="Y132" s="15"/>
      <c r="Z132" s="15">
        <v>19.3</v>
      </c>
      <c r="AA132" s="15" t="s">
        <v>89</v>
      </c>
      <c r="AB132" s="15">
        <f t="shared" si="42"/>
        <v>1.4</v>
      </c>
      <c r="AC132" s="16">
        <f t="shared" si="43"/>
        <v>27.02</v>
      </c>
      <c r="AD132" s="12">
        <f t="shared" si="44"/>
        <v>699.82</v>
      </c>
      <c r="AE132" s="15">
        <v>7271.14</v>
      </c>
      <c r="AF132" s="12">
        <f t="shared" si="45"/>
        <v>3701008.6899999953</v>
      </c>
      <c r="AG132" s="12">
        <f t="shared" si="46"/>
        <v>3693737.5499999952</v>
      </c>
      <c r="AH132" s="12">
        <f t="shared" si="47"/>
        <v>3686466.409999995</v>
      </c>
      <c r="AI132" s="12">
        <f t="shared" si="48"/>
        <v>3679195.2699999949</v>
      </c>
      <c r="AJ132" s="12">
        <f t="shared" si="49"/>
        <v>3671924.1299999948</v>
      </c>
      <c r="AK132" s="12">
        <f t="shared" si="41"/>
        <v>3664652.9899999946</v>
      </c>
      <c r="AL132" s="12">
        <f t="shared" si="41"/>
        <v>3657381.8499999945</v>
      </c>
      <c r="AM132" s="12">
        <f t="shared" si="41"/>
        <v>3650110.7099999944</v>
      </c>
      <c r="AN132" s="12">
        <f t="shared" si="41"/>
        <v>3642839.5699999942</v>
      </c>
      <c r="AO132" s="12">
        <f t="shared" si="41"/>
        <v>3635568.4299999941</v>
      </c>
      <c r="AP132" s="12">
        <f t="shared" si="41"/>
        <v>3628297.289999994</v>
      </c>
      <c r="AQ132" s="12">
        <f t="shared" si="41"/>
        <v>3621026.1499999939</v>
      </c>
      <c r="AR132" s="17">
        <f t="shared" si="41"/>
        <v>3613755.0099999937</v>
      </c>
      <c r="AS132" s="12">
        <f t="shared" ref="AS132:AS139" si="53">ROUND(SUM(AF132:AR132)/13*1.5%,2)</f>
        <v>54860.73</v>
      </c>
      <c r="AT132" s="12">
        <f t="shared" si="50"/>
        <v>55560.55</v>
      </c>
      <c r="AU132" s="12">
        <f t="shared" si="51"/>
        <v>7271.14</v>
      </c>
      <c r="AV132" s="18">
        <f t="shared" si="35"/>
        <v>4630.05</v>
      </c>
      <c r="AW132" s="17">
        <f t="shared" si="52"/>
        <v>7271.14</v>
      </c>
      <c r="AX132" s="12"/>
      <c r="AY132" s="11"/>
      <c r="AZ132" s="19"/>
      <c r="BA132" s="45"/>
      <c r="BB132" s="20"/>
      <c r="BC132" s="20"/>
      <c r="BD132" s="20"/>
    </row>
    <row r="133" spans="1:56" s="21" customFormat="1" ht="36" x14ac:dyDescent="0.25">
      <c r="A133" s="7"/>
      <c r="B133" s="7">
        <v>165</v>
      </c>
      <c r="C133" s="7" t="s">
        <v>235</v>
      </c>
      <c r="D133" s="7" t="s">
        <v>236</v>
      </c>
      <c r="E133" s="7" t="s">
        <v>237</v>
      </c>
      <c r="F133" s="34">
        <v>81</v>
      </c>
      <c r="G133" s="7">
        <v>515</v>
      </c>
      <c r="H133" s="9" t="str">
        <f t="shared" si="39"/>
        <v>Жилой комплекс Общежитие, Республики 81 - 515</v>
      </c>
      <c r="I133" s="10">
        <v>1</v>
      </c>
      <c r="J133" s="11">
        <v>4124913</v>
      </c>
      <c r="K133" s="11"/>
      <c r="L133" s="12">
        <v>3872484.2799999993</v>
      </c>
      <c r="M133" s="12">
        <f t="shared" si="38"/>
        <v>3872484.2799999993</v>
      </c>
      <c r="N133" s="10">
        <v>1</v>
      </c>
      <c r="O133" s="10">
        <v>27.1</v>
      </c>
      <c r="P133" s="10">
        <v>23.5</v>
      </c>
      <c r="Q133" s="10"/>
      <c r="R133" s="10"/>
      <c r="S133" s="10"/>
      <c r="T133" s="10"/>
      <c r="U133" s="13" t="s">
        <v>277</v>
      </c>
      <c r="V133" s="14" t="s">
        <v>56</v>
      </c>
      <c r="W133" s="7"/>
      <c r="X133" s="7"/>
      <c r="Y133" s="15"/>
      <c r="Z133" s="15">
        <v>19.3</v>
      </c>
      <c r="AA133" s="15" t="s">
        <v>89</v>
      </c>
      <c r="AB133" s="15">
        <f t="shared" si="42"/>
        <v>1.4</v>
      </c>
      <c r="AC133" s="16">
        <f t="shared" si="43"/>
        <v>27.02</v>
      </c>
      <c r="AD133" s="12">
        <f t="shared" si="44"/>
        <v>732.24</v>
      </c>
      <c r="AE133" s="15">
        <v>7608.02</v>
      </c>
      <c r="AF133" s="12">
        <f t="shared" si="45"/>
        <v>3872484.2799999993</v>
      </c>
      <c r="AG133" s="12">
        <f t="shared" si="46"/>
        <v>3864876.2599999993</v>
      </c>
      <c r="AH133" s="12">
        <f t="shared" si="47"/>
        <v>3857268.2399999993</v>
      </c>
      <c r="AI133" s="12">
        <f t="shared" si="48"/>
        <v>3849660.2199999993</v>
      </c>
      <c r="AJ133" s="12">
        <f t="shared" si="49"/>
        <v>3842052.1999999993</v>
      </c>
      <c r="AK133" s="12">
        <f t="shared" ref="AK133:AR139" si="54">AJ133-$AE133</f>
        <v>3834444.1799999992</v>
      </c>
      <c r="AL133" s="12">
        <f t="shared" si="54"/>
        <v>3826836.1599999992</v>
      </c>
      <c r="AM133" s="12">
        <f t="shared" si="54"/>
        <v>3819228.1399999992</v>
      </c>
      <c r="AN133" s="12">
        <f t="shared" si="54"/>
        <v>3811620.1199999992</v>
      </c>
      <c r="AO133" s="12">
        <f t="shared" si="54"/>
        <v>3804012.0999999992</v>
      </c>
      <c r="AP133" s="12">
        <f t="shared" si="54"/>
        <v>3796404.0799999991</v>
      </c>
      <c r="AQ133" s="12">
        <f t="shared" si="54"/>
        <v>3788796.0599999991</v>
      </c>
      <c r="AR133" s="17">
        <f t="shared" si="54"/>
        <v>3781188.0399999991</v>
      </c>
      <c r="AS133" s="12">
        <f t="shared" si="53"/>
        <v>57402.54</v>
      </c>
      <c r="AT133" s="12">
        <f t="shared" si="50"/>
        <v>58134.78</v>
      </c>
      <c r="AU133" s="12">
        <f t="shared" si="51"/>
        <v>7608.02</v>
      </c>
      <c r="AV133" s="18">
        <f t="shared" si="35"/>
        <v>4844.57</v>
      </c>
      <c r="AW133" s="17">
        <f t="shared" si="52"/>
        <v>7608.02</v>
      </c>
      <c r="AX133" s="12"/>
      <c r="AY133" s="12"/>
      <c r="AZ133" s="19"/>
      <c r="BA133" s="45"/>
      <c r="BB133" s="20"/>
      <c r="BC133" s="20"/>
      <c r="BD133" s="20"/>
    </row>
    <row r="134" spans="1:56" s="21" customFormat="1" ht="36" x14ac:dyDescent="0.25">
      <c r="A134" s="7"/>
      <c r="B134" s="7">
        <v>166</v>
      </c>
      <c r="C134" s="7" t="s">
        <v>235</v>
      </c>
      <c r="D134" s="7" t="s">
        <v>236</v>
      </c>
      <c r="E134" s="7" t="s">
        <v>237</v>
      </c>
      <c r="F134" s="34">
        <v>81</v>
      </c>
      <c r="G134" s="7">
        <v>517</v>
      </c>
      <c r="H134" s="9" t="str">
        <f t="shared" si="39"/>
        <v>Жилой комплекс Общежитие, Республики 81 - 517</v>
      </c>
      <c r="I134" s="10">
        <v>1</v>
      </c>
      <c r="J134" s="11">
        <v>4185797</v>
      </c>
      <c r="K134" s="11"/>
      <c r="L134" s="12">
        <v>3929642.0700000054</v>
      </c>
      <c r="M134" s="12">
        <f t="shared" si="38"/>
        <v>3929642.0700000054</v>
      </c>
      <c r="N134" s="10">
        <v>1</v>
      </c>
      <c r="O134" s="10">
        <v>27.5</v>
      </c>
      <c r="P134" s="10">
        <v>24</v>
      </c>
      <c r="Q134" s="10"/>
      <c r="R134" s="10"/>
      <c r="S134" s="10"/>
      <c r="T134" s="10"/>
      <c r="U134" s="13" t="s">
        <v>278</v>
      </c>
      <c r="V134" s="14" t="s">
        <v>56</v>
      </c>
      <c r="W134" s="7"/>
      <c r="X134" s="7"/>
      <c r="Y134" s="15"/>
      <c r="Z134" s="15">
        <v>19.3</v>
      </c>
      <c r="AA134" s="15" t="s">
        <v>89</v>
      </c>
      <c r="AB134" s="15">
        <f t="shared" si="42"/>
        <v>1.4</v>
      </c>
      <c r="AC134" s="16">
        <f t="shared" si="43"/>
        <v>27.02</v>
      </c>
      <c r="AD134" s="12">
        <f t="shared" si="44"/>
        <v>743.05</v>
      </c>
      <c r="AE134" s="15">
        <v>7720.32</v>
      </c>
      <c r="AF134" s="12">
        <f t="shared" si="45"/>
        <v>3929642.0700000054</v>
      </c>
      <c r="AG134" s="12">
        <f t="shared" si="46"/>
        <v>3921921.7500000056</v>
      </c>
      <c r="AH134" s="12">
        <f t="shared" si="47"/>
        <v>3914201.4300000058</v>
      </c>
      <c r="AI134" s="12">
        <f t="shared" si="48"/>
        <v>3906481.1100000059</v>
      </c>
      <c r="AJ134" s="12">
        <f t="shared" si="49"/>
        <v>3898760.7900000061</v>
      </c>
      <c r="AK134" s="12">
        <f t="shared" si="54"/>
        <v>3891040.4700000063</v>
      </c>
      <c r="AL134" s="12">
        <f t="shared" si="54"/>
        <v>3883320.1500000064</v>
      </c>
      <c r="AM134" s="12">
        <f t="shared" si="54"/>
        <v>3875599.8300000066</v>
      </c>
      <c r="AN134" s="12">
        <f t="shared" si="54"/>
        <v>3867879.5100000068</v>
      </c>
      <c r="AO134" s="12">
        <f t="shared" si="54"/>
        <v>3860159.1900000069</v>
      </c>
      <c r="AP134" s="12">
        <f t="shared" si="54"/>
        <v>3852438.8700000071</v>
      </c>
      <c r="AQ134" s="12">
        <f t="shared" si="54"/>
        <v>3844718.5500000073</v>
      </c>
      <c r="AR134" s="17">
        <f t="shared" si="54"/>
        <v>3836998.2300000074</v>
      </c>
      <c r="AS134" s="12">
        <f t="shared" si="53"/>
        <v>58249.8</v>
      </c>
      <c r="AT134" s="12">
        <f t="shared" si="50"/>
        <v>58992.850000000006</v>
      </c>
      <c r="AU134" s="12">
        <f t="shared" si="51"/>
        <v>7720.32</v>
      </c>
      <c r="AV134" s="18">
        <f t="shared" si="35"/>
        <v>4916.07</v>
      </c>
      <c r="AW134" s="17">
        <f t="shared" si="52"/>
        <v>7720.32</v>
      </c>
      <c r="AX134" s="12"/>
      <c r="AY134" s="12"/>
      <c r="AZ134" s="19"/>
      <c r="BA134" s="20"/>
      <c r="BB134" s="20"/>
      <c r="BC134" s="20"/>
      <c r="BD134" s="20"/>
    </row>
    <row r="135" spans="1:56" s="21" customFormat="1" ht="36" x14ac:dyDescent="0.25">
      <c r="A135" s="7"/>
      <c r="B135" s="7">
        <v>167</v>
      </c>
      <c r="C135" s="7" t="s">
        <v>235</v>
      </c>
      <c r="D135" s="7" t="s">
        <v>236</v>
      </c>
      <c r="E135" s="7" t="s">
        <v>237</v>
      </c>
      <c r="F135" s="34">
        <v>81</v>
      </c>
      <c r="G135" s="7">
        <v>518</v>
      </c>
      <c r="H135" s="9" t="str">
        <f t="shared" si="39"/>
        <v>Жилой комплекс Общежитие, Республики 81 - 518</v>
      </c>
      <c r="I135" s="10">
        <v>1</v>
      </c>
      <c r="J135" s="11">
        <v>5997106</v>
      </c>
      <c r="K135" s="11"/>
      <c r="L135" s="12">
        <v>5630106.0199999884</v>
      </c>
      <c r="M135" s="12">
        <f t="shared" si="38"/>
        <v>5630106.0199999884</v>
      </c>
      <c r="N135" s="10">
        <v>1</v>
      </c>
      <c r="O135" s="10">
        <v>39.4</v>
      </c>
      <c r="P135" s="10">
        <v>35.799999999999997</v>
      </c>
      <c r="Q135" s="10"/>
      <c r="R135" s="10"/>
      <c r="S135" s="10"/>
      <c r="T135" s="10"/>
      <c r="U135" s="13" t="s">
        <v>279</v>
      </c>
      <c r="V135" s="14" t="s">
        <v>56</v>
      </c>
      <c r="W135" s="7"/>
      <c r="X135" s="7"/>
      <c r="Y135" s="15"/>
      <c r="Z135" s="15">
        <v>19.3</v>
      </c>
      <c r="AA135" s="15" t="s">
        <v>89</v>
      </c>
      <c r="AB135" s="15">
        <f t="shared" si="42"/>
        <v>1.4</v>
      </c>
      <c r="AC135" s="16">
        <f t="shared" si="43"/>
        <v>27.02</v>
      </c>
      <c r="AD135" s="12">
        <f t="shared" si="44"/>
        <v>1064.5899999999999</v>
      </c>
      <c r="AE135" s="15">
        <v>11061.11</v>
      </c>
      <c r="AF135" s="12">
        <f t="shared" si="45"/>
        <v>5630106.0199999884</v>
      </c>
      <c r="AG135" s="12">
        <f t="shared" si="46"/>
        <v>5619044.909999988</v>
      </c>
      <c r="AH135" s="12">
        <f t="shared" si="47"/>
        <v>5607983.7999999877</v>
      </c>
      <c r="AI135" s="12">
        <f t="shared" si="48"/>
        <v>5596922.6899999874</v>
      </c>
      <c r="AJ135" s="12">
        <f t="shared" si="49"/>
        <v>5585861.579999987</v>
      </c>
      <c r="AK135" s="12">
        <f t="shared" si="54"/>
        <v>5574800.4699999867</v>
      </c>
      <c r="AL135" s="12">
        <f t="shared" si="54"/>
        <v>5563739.3599999864</v>
      </c>
      <c r="AM135" s="12">
        <f t="shared" si="54"/>
        <v>5552678.249999986</v>
      </c>
      <c r="AN135" s="12">
        <f t="shared" si="54"/>
        <v>5541617.1399999857</v>
      </c>
      <c r="AO135" s="12">
        <f t="shared" si="54"/>
        <v>5530556.0299999854</v>
      </c>
      <c r="AP135" s="12">
        <f t="shared" si="54"/>
        <v>5519494.919999985</v>
      </c>
      <c r="AQ135" s="12">
        <f t="shared" si="54"/>
        <v>5508433.8099999847</v>
      </c>
      <c r="AR135" s="17">
        <f t="shared" si="54"/>
        <v>5497372.6999999844</v>
      </c>
      <c r="AS135" s="12">
        <f t="shared" si="53"/>
        <v>83456.09</v>
      </c>
      <c r="AT135" s="12">
        <f t="shared" si="50"/>
        <v>84520.68</v>
      </c>
      <c r="AU135" s="12">
        <f t="shared" si="51"/>
        <v>11061.11</v>
      </c>
      <c r="AV135" s="18">
        <f t="shared" si="35"/>
        <v>7043.39</v>
      </c>
      <c r="AW135" s="17">
        <f t="shared" si="52"/>
        <v>11061.11</v>
      </c>
      <c r="AX135" s="12"/>
      <c r="AY135" s="12"/>
      <c r="AZ135" s="19"/>
      <c r="BA135" s="45"/>
      <c r="BB135" s="20"/>
      <c r="BC135" s="20"/>
      <c r="BD135" s="20"/>
    </row>
    <row r="136" spans="1:56" s="21" customFormat="1" ht="36" x14ac:dyDescent="0.25">
      <c r="A136" s="7"/>
      <c r="B136" s="7">
        <v>169</v>
      </c>
      <c r="C136" s="7" t="s">
        <v>235</v>
      </c>
      <c r="D136" s="7" t="s">
        <v>236</v>
      </c>
      <c r="E136" s="7" t="s">
        <v>237</v>
      </c>
      <c r="F136" s="34">
        <v>81</v>
      </c>
      <c r="G136" s="15">
        <v>520</v>
      </c>
      <c r="H136" s="9" t="str">
        <f t="shared" si="39"/>
        <v>Жилой комплекс Общежитие, Республики 81 - 520</v>
      </c>
      <c r="I136" s="10">
        <v>1</v>
      </c>
      <c r="J136" s="11">
        <v>4992515</v>
      </c>
      <c r="K136" s="11"/>
      <c r="L136" s="12">
        <v>4686991.8699999917</v>
      </c>
      <c r="M136" s="12">
        <f t="shared" si="38"/>
        <v>4686991.8699999917</v>
      </c>
      <c r="N136" s="10">
        <v>1</v>
      </c>
      <c r="O136" s="10">
        <v>32.799999999999997</v>
      </c>
      <c r="P136" s="10">
        <v>29.2</v>
      </c>
      <c r="Q136" s="10"/>
      <c r="R136" s="10"/>
      <c r="S136" s="10"/>
      <c r="T136" s="10"/>
      <c r="U136" s="13" t="s">
        <v>280</v>
      </c>
      <c r="V136" s="14" t="s">
        <v>56</v>
      </c>
      <c r="W136" s="15"/>
      <c r="X136" s="15"/>
      <c r="Y136" s="15"/>
      <c r="Z136" s="15">
        <v>19.3</v>
      </c>
      <c r="AA136" s="15" t="s">
        <v>89</v>
      </c>
      <c r="AB136" s="15">
        <f t="shared" si="42"/>
        <v>1.4</v>
      </c>
      <c r="AC136" s="16">
        <f t="shared" si="43"/>
        <v>27.02</v>
      </c>
      <c r="AD136" s="12">
        <f t="shared" si="44"/>
        <v>886.26</v>
      </c>
      <c r="AE136" s="15">
        <v>9208.24</v>
      </c>
      <c r="AF136" s="12">
        <f t="shared" si="45"/>
        <v>4686991.8699999917</v>
      </c>
      <c r="AG136" s="12">
        <f t="shared" si="46"/>
        <v>4677783.6299999915</v>
      </c>
      <c r="AH136" s="12">
        <f t="shared" si="47"/>
        <v>4668575.3899999913</v>
      </c>
      <c r="AI136" s="12">
        <f t="shared" si="48"/>
        <v>4659367.1499999911</v>
      </c>
      <c r="AJ136" s="12">
        <f t="shared" si="49"/>
        <v>4650158.9099999908</v>
      </c>
      <c r="AK136" s="12">
        <f t="shared" si="54"/>
        <v>4640950.6699999906</v>
      </c>
      <c r="AL136" s="12">
        <f t="shared" si="54"/>
        <v>4631742.4299999904</v>
      </c>
      <c r="AM136" s="12">
        <f t="shared" si="54"/>
        <v>4622534.1899999902</v>
      </c>
      <c r="AN136" s="12">
        <f t="shared" si="54"/>
        <v>4613325.9499999899</v>
      </c>
      <c r="AO136" s="12">
        <f t="shared" si="54"/>
        <v>4604117.7099999897</v>
      </c>
      <c r="AP136" s="12">
        <f t="shared" si="54"/>
        <v>4594909.4699999895</v>
      </c>
      <c r="AQ136" s="12">
        <f t="shared" si="54"/>
        <v>4585701.2299999893</v>
      </c>
      <c r="AR136" s="17">
        <f t="shared" si="54"/>
        <v>4576492.989999989</v>
      </c>
      <c r="AS136" s="12">
        <f t="shared" si="53"/>
        <v>69476.14</v>
      </c>
      <c r="AT136" s="12">
        <f t="shared" si="50"/>
        <v>70362.399999999994</v>
      </c>
      <c r="AU136" s="12">
        <f t="shared" si="51"/>
        <v>9208.24</v>
      </c>
      <c r="AV136" s="18">
        <f t="shared" si="35"/>
        <v>5863.53</v>
      </c>
      <c r="AW136" s="17">
        <f t="shared" si="52"/>
        <v>9208.24</v>
      </c>
      <c r="AX136" s="12"/>
      <c r="AY136" s="12"/>
      <c r="AZ136" s="19"/>
      <c r="BA136" s="20"/>
      <c r="BB136" s="20"/>
      <c r="BC136" s="20"/>
      <c r="BD136" s="20"/>
    </row>
    <row r="137" spans="1:56" s="21" customFormat="1" ht="36" x14ac:dyDescent="0.25">
      <c r="A137" s="7"/>
      <c r="B137" s="7">
        <v>170</v>
      </c>
      <c r="C137" s="7" t="s">
        <v>235</v>
      </c>
      <c r="D137" s="7" t="s">
        <v>236</v>
      </c>
      <c r="E137" s="7" t="s">
        <v>237</v>
      </c>
      <c r="F137" s="34">
        <v>81</v>
      </c>
      <c r="G137" s="15">
        <v>521</v>
      </c>
      <c r="H137" s="9" t="str">
        <f t="shared" si="39"/>
        <v>Жилой комплекс Общежитие, Республики 81 - 521</v>
      </c>
      <c r="I137" s="10">
        <v>1</v>
      </c>
      <c r="J137" s="11">
        <v>5677463</v>
      </c>
      <c r="K137" s="11"/>
      <c r="L137" s="12">
        <v>5330023.8800000148</v>
      </c>
      <c r="M137" s="12">
        <f t="shared" si="38"/>
        <v>5330023.8800000148</v>
      </c>
      <c r="N137" s="10">
        <v>1</v>
      </c>
      <c r="O137" s="10">
        <v>37.299999999999997</v>
      </c>
      <c r="P137" s="10">
        <v>34</v>
      </c>
      <c r="Q137" s="10"/>
      <c r="R137" s="10"/>
      <c r="S137" s="10"/>
      <c r="T137" s="10"/>
      <c r="U137" s="117" t="s">
        <v>281</v>
      </c>
      <c r="V137" s="14" t="s">
        <v>56</v>
      </c>
      <c r="W137" s="15"/>
      <c r="X137" s="15"/>
      <c r="Y137" s="15"/>
      <c r="Z137" s="15">
        <v>19.3</v>
      </c>
      <c r="AA137" s="15" t="s">
        <v>89</v>
      </c>
      <c r="AB137" s="15">
        <f t="shared" si="42"/>
        <v>1.4</v>
      </c>
      <c r="AC137" s="16">
        <f t="shared" si="43"/>
        <v>27.02</v>
      </c>
      <c r="AD137" s="12">
        <f t="shared" si="44"/>
        <v>1007.85</v>
      </c>
      <c r="AE137" s="15">
        <v>10471.56</v>
      </c>
      <c r="AF137" s="12">
        <f t="shared" si="45"/>
        <v>5330023.8800000148</v>
      </c>
      <c r="AG137" s="12">
        <f t="shared" si="46"/>
        <v>5319552.3200000152</v>
      </c>
      <c r="AH137" s="12">
        <f t="shared" si="47"/>
        <v>5309080.7600000156</v>
      </c>
      <c r="AI137" s="12">
        <f t="shared" si="48"/>
        <v>5298609.200000016</v>
      </c>
      <c r="AJ137" s="12">
        <f t="shared" si="49"/>
        <v>5288137.6400000164</v>
      </c>
      <c r="AK137" s="12">
        <f t="shared" si="54"/>
        <v>5277666.0800000168</v>
      </c>
      <c r="AL137" s="12">
        <f t="shared" si="54"/>
        <v>5267194.5200000172</v>
      </c>
      <c r="AM137" s="12">
        <f t="shared" si="54"/>
        <v>5256722.9600000177</v>
      </c>
      <c r="AN137" s="12">
        <f t="shared" si="54"/>
        <v>5246251.4000000181</v>
      </c>
      <c r="AO137" s="12">
        <f t="shared" si="54"/>
        <v>5235779.8400000185</v>
      </c>
      <c r="AP137" s="12">
        <f t="shared" si="54"/>
        <v>5225308.2800000189</v>
      </c>
      <c r="AQ137" s="12">
        <f t="shared" si="54"/>
        <v>5214836.7200000193</v>
      </c>
      <c r="AR137" s="17">
        <f t="shared" si="54"/>
        <v>5204365.1600000197</v>
      </c>
      <c r="AS137" s="12">
        <f t="shared" si="53"/>
        <v>79007.92</v>
      </c>
      <c r="AT137" s="12">
        <f t="shared" si="50"/>
        <v>80015.77</v>
      </c>
      <c r="AU137" s="12">
        <f t="shared" si="51"/>
        <v>10471.56</v>
      </c>
      <c r="AV137" s="18">
        <f t="shared" si="35"/>
        <v>6667.98</v>
      </c>
      <c r="AW137" s="17">
        <f t="shared" si="52"/>
        <v>10471.56</v>
      </c>
      <c r="AX137" s="12"/>
      <c r="AY137" s="12"/>
      <c r="AZ137" s="19"/>
      <c r="BA137" s="20"/>
      <c r="BB137" s="20"/>
      <c r="BC137" s="20"/>
      <c r="BD137" s="20"/>
    </row>
    <row r="138" spans="1:56" s="21" customFormat="1" ht="36" x14ac:dyDescent="0.25">
      <c r="A138" s="90"/>
      <c r="B138" s="90">
        <v>171</v>
      </c>
      <c r="C138" s="90" t="s">
        <v>235</v>
      </c>
      <c r="D138" s="90" t="s">
        <v>236</v>
      </c>
      <c r="E138" s="90" t="s">
        <v>237</v>
      </c>
      <c r="F138" s="91">
        <v>81</v>
      </c>
      <c r="G138" s="99">
        <v>523</v>
      </c>
      <c r="H138" s="90" t="str">
        <f t="shared" si="39"/>
        <v>Жилой комплекс Общежитие, Республики 81 - 523</v>
      </c>
      <c r="I138" s="89">
        <v>1</v>
      </c>
      <c r="J138" s="93">
        <v>4977293</v>
      </c>
      <c r="K138" s="93"/>
      <c r="L138" s="94">
        <v>4672701.639999995</v>
      </c>
      <c r="M138" s="94">
        <f t="shared" si="38"/>
        <v>4672701.639999995</v>
      </c>
      <c r="N138" s="89">
        <v>1</v>
      </c>
      <c r="O138" s="89">
        <v>32.700000000000003</v>
      </c>
      <c r="P138" s="89">
        <v>29.1</v>
      </c>
      <c r="Q138" s="89"/>
      <c r="R138" s="89"/>
      <c r="S138" s="89"/>
      <c r="T138" s="89"/>
      <c r="U138" s="97" t="s">
        <v>282</v>
      </c>
      <c r="V138" s="98" t="s">
        <v>56</v>
      </c>
      <c r="W138" s="99"/>
      <c r="X138" s="99"/>
      <c r="Y138" s="99"/>
      <c r="Z138" s="99">
        <v>19.3</v>
      </c>
      <c r="AA138" s="99" t="s">
        <v>89</v>
      </c>
      <c r="AB138" s="99">
        <f t="shared" si="42"/>
        <v>1.4</v>
      </c>
      <c r="AC138" s="100">
        <f t="shared" si="43"/>
        <v>27.02</v>
      </c>
      <c r="AD138" s="94">
        <f t="shared" si="44"/>
        <v>883.55</v>
      </c>
      <c r="AE138" s="99">
        <v>9180.16</v>
      </c>
      <c r="AF138" s="94">
        <f t="shared" si="45"/>
        <v>4672701.639999995</v>
      </c>
      <c r="AG138" s="94">
        <f t="shared" si="46"/>
        <v>4663521.4799999949</v>
      </c>
      <c r="AH138" s="94">
        <f t="shared" si="47"/>
        <v>4654341.3199999947</v>
      </c>
      <c r="AI138" s="94">
        <f t="shared" si="48"/>
        <v>4645161.1599999946</v>
      </c>
      <c r="AJ138" s="94">
        <f t="shared" si="49"/>
        <v>4635980.9999999944</v>
      </c>
      <c r="AK138" s="94">
        <f t="shared" si="54"/>
        <v>4626800.8399999943</v>
      </c>
      <c r="AL138" s="94">
        <f t="shared" si="54"/>
        <v>4617620.6799999941</v>
      </c>
      <c r="AM138" s="94">
        <f t="shared" si="54"/>
        <v>4608440.519999994</v>
      </c>
      <c r="AN138" s="94">
        <f t="shared" si="54"/>
        <v>4599260.3599999938</v>
      </c>
      <c r="AO138" s="94">
        <f t="shared" si="54"/>
        <v>4590080.1999999937</v>
      </c>
      <c r="AP138" s="94">
        <f t="shared" si="54"/>
        <v>4580900.0399999935</v>
      </c>
      <c r="AQ138" s="94">
        <f t="shared" si="54"/>
        <v>4571719.8799999934</v>
      </c>
      <c r="AR138" s="94">
        <f t="shared" si="54"/>
        <v>4562539.7199999932</v>
      </c>
      <c r="AS138" s="94">
        <f t="shared" si="53"/>
        <v>69264.31</v>
      </c>
      <c r="AT138" s="94">
        <f t="shared" si="50"/>
        <v>70147.86</v>
      </c>
      <c r="AU138" s="94">
        <f t="shared" si="51"/>
        <v>9180.16</v>
      </c>
      <c r="AV138" s="101">
        <f t="shared" si="35"/>
        <v>5845.66</v>
      </c>
      <c r="AW138" s="94">
        <f t="shared" si="52"/>
        <v>9180.16</v>
      </c>
      <c r="AX138" s="94"/>
      <c r="AY138" s="94"/>
      <c r="AZ138" s="102"/>
      <c r="BA138" s="103"/>
      <c r="BB138" s="103"/>
      <c r="BC138" s="103"/>
      <c r="BD138" s="103"/>
    </row>
    <row r="139" spans="1:56" s="21" customFormat="1" ht="36" x14ac:dyDescent="0.25">
      <c r="A139" s="7"/>
      <c r="B139" s="7">
        <v>172</v>
      </c>
      <c r="C139" s="7" t="s">
        <v>235</v>
      </c>
      <c r="D139" s="7" t="s">
        <v>236</v>
      </c>
      <c r="E139" s="7" t="s">
        <v>237</v>
      </c>
      <c r="F139" s="34">
        <v>81</v>
      </c>
      <c r="G139" s="15">
        <v>525</v>
      </c>
      <c r="H139" s="9" t="str">
        <f t="shared" si="39"/>
        <v>Жилой комплекс Общежитие, Республики 81 - 525</v>
      </c>
      <c r="I139" s="10">
        <v>1</v>
      </c>
      <c r="J139" s="11">
        <v>4079250</v>
      </c>
      <c r="K139" s="11"/>
      <c r="L139" s="12">
        <v>3829615.6200000066</v>
      </c>
      <c r="M139" s="12">
        <f t="shared" si="38"/>
        <v>3829615.6200000066</v>
      </c>
      <c r="N139" s="10">
        <v>1</v>
      </c>
      <c r="O139" s="10">
        <v>26.8</v>
      </c>
      <c r="P139" s="10">
        <v>23.1</v>
      </c>
      <c r="Q139" s="10"/>
      <c r="R139" s="10"/>
      <c r="S139" s="10"/>
      <c r="T139" s="10"/>
      <c r="U139" s="13" t="s">
        <v>283</v>
      </c>
      <c r="V139" s="14" t="s">
        <v>56</v>
      </c>
      <c r="W139" s="15"/>
      <c r="X139" s="15"/>
      <c r="Y139" s="15"/>
      <c r="Z139" s="15">
        <v>19.3</v>
      </c>
      <c r="AA139" s="15" t="s">
        <v>89</v>
      </c>
      <c r="AB139" s="15">
        <f t="shared" si="42"/>
        <v>1.4</v>
      </c>
      <c r="AC139" s="16">
        <f t="shared" si="43"/>
        <v>27.02</v>
      </c>
      <c r="AD139" s="12">
        <f t="shared" si="44"/>
        <v>724.14</v>
      </c>
      <c r="AE139" s="15">
        <v>7523.8</v>
      </c>
      <c r="AF139" s="12">
        <f t="shared" si="45"/>
        <v>3829615.6200000066</v>
      </c>
      <c r="AG139" s="12">
        <f t="shared" si="46"/>
        <v>3822091.8200000068</v>
      </c>
      <c r="AH139" s="12">
        <f t="shared" si="47"/>
        <v>3814568.020000007</v>
      </c>
      <c r="AI139" s="12">
        <f t="shared" si="48"/>
        <v>3807044.2200000072</v>
      </c>
      <c r="AJ139" s="12">
        <f t="shared" si="49"/>
        <v>3799520.4200000074</v>
      </c>
      <c r="AK139" s="12">
        <f t="shared" si="54"/>
        <v>3791996.6200000076</v>
      </c>
      <c r="AL139" s="12">
        <f t="shared" si="54"/>
        <v>3784472.8200000077</v>
      </c>
      <c r="AM139" s="12">
        <f t="shared" si="54"/>
        <v>3776949.0200000079</v>
      </c>
      <c r="AN139" s="12">
        <f t="shared" si="54"/>
        <v>3769425.2200000081</v>
      </c>
      <c r="AO139" s="12">
        <f t="shared" si="54"/>
        <v>3761901.4200000083</v>
      </c>
      <c r="AP139" s="12">
        <f t="shared" si="54"/>
        <v>3754377.6200000085</v>
      </c>
      <c r="AQ139" s="12">
        <f t="shared" si="54"/>
        <v>3746853.8200000087</v>
      </c>
      <c r="AR139" s="17">
        <f t="shared" si="54"/>
        <v>3739330.0200000089</v>
      </c>
      <c r="AS139" s="12">
        <f t="shared" si="53"/>
        <v>56767.09</v>
      </c>
      <c r="AT139" s="12">
        <f t="shared" si="50"/>
        <v>57491.229999999996</v>
      </c>
      <c r="AU139" s="12">
        <f t="shared" si="51"/>
        <v>7523.8</v>
      </c>
      <c r="AV139" s="18">
        <f t="shared" si="35"/>
        <v>4790.9399999999996</v>
      </c>
      <c r="AW139" s="17">
        <f t="shared" si="52"/>
        <v>7523.8</v>
      </c>
      <c r="AX139" s="12"/>
      <c r="AY139" s="12"/>
      <c r="AZ139" s="19"/>
      <c r="BA139" s="20"/>
      <c r="BB139" s="20"/>
      <c r="BC139" s="20"/>
      <c r="BD139" s="20"/>
    </row>
    <row r="140" spans="1:56" ht="36" x14ac:dyDescent="0.25">
      <c r="A140" s="132"/>
      <c r="B140" s="132">
        <v>1</v>
      </c>
      <c r="C140" s="132" t="s">
        <v>284</v>
      </c>
      <c r="D140" s="132" t="s">
        <v>285</v>
      </c>
      <c r="E140" s="132" t="s">
        <v>286</v>
      </c>
      <c r="F140" s="133" t="s">
        <v>287</v>
      </c>
      <c r="G140" s="134">
        <v>68</v>
      </c>
      <c r="H140" s="134" t="s">
        <v>288</v>
      </c>
      <c r="I140" s="135">
        <v>1</v>
      </c>
      <c r="J140" s="136">
        <v>19554000</v>
      </c>
      <c r="K140" s="137"/>
      <c r="L140" s="138">
        <v>19488820</v>
      </c>
      <c r="M140" s="138">
        <f t="shared" si="38"/>
        <v>19488820</v>
      </c>
      <c r="N140" s="138">
        <v>1</v>
      </c>
      <c r="O140" s="138">
        <v>43.7</v>
      </c>
      <c r="P140" s="135"/>
      <c r="Q140" s="135"/>
      <c r="R140" s="135"/>
      <c r="S140" s="135"/>
      <c r="T140" s="135"/>
      <c r="U140" s="139" t="s">
        <v>289</v>
      </c>
      <c r="V140" s="140" t="s">
        <v>56</v>
      </c>
      <c r="W140" s="132"/>
      <c r="X140" s="141"/>
      <c r="Y140" s="141"/>
      <c r="Z140" s="141">
        <v>19.3</v>
      </c>
      <c r="AA140" s="141" t="s">
        <v>89</v>
      </c>
      <c r="AB140" s="141">
        <f t="shared" si="42"/>
        <v>1.4</v>
      </c>
      <c r="AC140" s="142">
        <f t="shared" si="43"/>
        <v>27.02</v>
      </c>
      <c r="AD140" s="138">
        <f t="shared" si="44"/>
        <v>1180.77</v>
      </c>
      <c r="AE140" s="138">
        <f>ROUND(AD140/12*4,2)</f>
        <v>393.59</v>
      </c>
      <c r="AF140" s="143">
        <f>ROUND(J140/1200,2)</f>
        <v>16295</v>
      </c>
      <c r="AG140" s="138">
        <f>M140</f>
        <v>19488820</v>
      </c>
      <c r="AH140" s="138">
        <f>AG140-AF140</f>
        <v>19472525</v>
      </c>
      <c r="AI140" s="138">
        <f>AH140-AF140</f>
        <v>19456230</v>
      </c>
      <c r="AJ140" s="138">
        <f>AI140-AF140</f>
        <v>19439935</v>
      </c>
      <c r="AK140" s="138">
        <f>AJ140-AF140</f>
        <v>19423640</v>
      </c>
      <c r="AL140" s="138">
        <f>AK140-AF140</f>
        <v>19407345</v>
      </c>
      <c r="AM140" s="138">
        <f>AL140-AF140</f>
        <v>19391050</v>
      </c>
      <c r="AN140" s="138">
        <f>AM140-AF140</f>
        <v>19374755</v>
      </c>
      <c r="AO140" s="138">
        <f>AN140-AF140</f>
        <v>19358460</v>
      </c>
      <c r="AP140" s="138">
        <f>AO140-AF140</f>
        <v>19342165</v>
      </c>
      <c r="AQ140" s="138">
        <f>AP140-AF140</f>
        <v>19325870</v>
      </c>
      <c r="AR140" s="138">
        <f>AQ140-AF140</f>
        <v>19309575</v>
      </c>
      <c r="AS140" s="138">
        <f>AR140-AF140</f>
        <v>19293280</v>
      </c>
      <c r="AT140" s="138">
        <f>ROUND(SUM(AG140:AS140)/13*1.5%,2)</f>
        <v>290865.75</v>
      </c>
      <c r="AU140" s="138">
        <f>AT140+AD140</f>
        <v>292046.52</v>
      </c>
      <c r="AV140" s="144">
        <f t="shared" ref="AV140:AV171" si="55">AF140</f>
        <v>16295</v>
      </c>
      <c r="AW140" s="145">
        <f>ROUND((AU140)/12,2)</f>
        <v>24337.21</v>
      </c>
      <c r="AX140" s="146">
        <f t="shared" ref="AX140:AX171" si="56">AV140</f>
        <v>16295</v>
      </c>
      <c r="AY140" s="138"/>
      <c r="AZ140" s="138"/>
      <c r="BA140" s="147"/>
      <c r="BB140" s="148"/>
    </row>
    <row r="141" spans="1:56" ht="36" x14ac:dyDescent="0.25">
      <c r="A141" s="132"/>
      <c r="B141" s="132">
        <v>2</v>
      </c>
      <c r="C141" s="132" t="s">
        <v>284</v>
      </c>
      <c r="D141" s="132" t="s">
        <v>285</v>
      </c>
      <c r="E141" s="132" t="s">
        <v>286</v>
      </c>
      <c r="F141" s="133" t="s">
        <v>287</v>
      </c>
      <c r="G141" s="134">
        <v>48</v>
      </c>
      <c r="H141" s="134" t="s">
        <v>288</v>
      </c>
      <c r="I141" s="149">
        <v>1</v>
      </c>
      <c r="J141" s="150">
        <v>19733000</v>
      </c>
      <c r="K141" s="151"/>
      <c r="L141" s="146">
        <v>19667223.319999993</v>
      </c>
      <c r="M141" s="146">
        <f t="shared" si="38"/>
        <v>19667223.319999993</v>
      </c>
      <c r="N141" s="146">
        <v>1</v>
      </c>
      <c r="O141" s="146">
        <v>44.1</v>
      </c>
      <c r="P141" s="149"/>
      <c r="Q141" s="149"/>
      <c r="R141" s="149"/>
      <c r="S141" s="149"/>
      <c r="T141" s="149"/>
      <c r="U141" s="139" t="s">
        <v>290</v>
      </c>
      <c r="V141" s="140" t="s">
        <v>56</v>
      </c>
      <c r="W141" s="132"/>
      <c r="X141" s="141"/>
      <c r="Y141" s="141"/>
      <c r="Z141" s="141">
        <v>19.3</v>
      </c>
      <c r="AA141" s="141" t="s">
        <v>89</v>
      </c>
      <c r="AB141" s="141">
        <f t="shared" si="42"/>
        <v>1.4</v>
      </c>
      <c r="AC141" s="142">
        <f t="shared" si="43"/>
        <v>27.02</v>
      </c>
      <c r="AD141" s="138">
        <f t="shared" si="44"/>
        <v>1191.58</v>
      </c>
      <c r="AE141" s="138">
        <f t="shared" ref="AE141:AE171" si="57">ROUND(AD141/12*4,2)</f>
        <v>397.19</v>
      </c>
      <c r="AF141" s="143">
        <f t="shared" ref="AF141:AF171" si="58">ROUND(J141/1200,2)</f>
        <v>16444.169999999998</v>
      </c>
      <c r="AG141" s="138">
        <f t="shared" ref="AG141:AG171" si="59">M141</f>
        <v>19667223.319999993</v>
      </c>
      <c r="AH141" s="138">
        <f t="shared" ref="AH141:AH171" si="60">AG141-AF141</f>
        <v>19650779.149999991</v>
      </c>
      <c r="AI141" s="138">
        <f t="shared" ref="AI141:AI171" si="61">AH141-AF141</f>
        <v>19634334.979999989</v>
      </c>
      <c r="AJ141" s="138">
        <f t="shared" ref="AJ141:AJ171" si="62">AI141-AF141</f>
        <v>19617890.809999987</v>
      </c>
      <c r="AK141" s="138">
        <f t="shared" ref="AK141:AK171" si="63">AJ141-AF141</f>
        <v>19601446.639999986</v>
      </c>
      <c r="AL141" s="138">
        <f t="shared" ref="AL141:AL171" si="64">AK141-AF141</f>
        <v>19585002.469999984</v>
      </c>
      <c r="AM141" s="138">
        <f t="shared" ref="AM141:AM171" si="65">AL141-AF141</f>
        <v>19568558.299999982</v>
      </c>
      <c r="AN141" s="138">
        <f t="shared" ref="AN141:AN171" si="66">AM141-AF141</f>
        <v>19552114.12999998</v>
      </c>
      <c r="AO141" s="138">
        <f t="shared" ref="AO141:AO171" si="67">AN141-AF141</f>
        <v>19535669.959999979</v>
      </c>
      <c r="AP141" s="138">
        <f t="shared" ref="AP141:AP171" si="68">AO141-AF141</f>
        <v>19519225.789999977</v>
      </c>
      <c r="AQ141" s="138">
        <f t="shared" ref="AQ141:AQ171" si="69">AP141-AF141</f>
        <v>19502781.619999975</v>
      </c>
      <c r="AR141" s="138">
        <f t="shared" ref="AR141:AR171" si="70">AQ141-AF141</f>
        <v>19486337.449999973</v>
      </c>
      <c r="AS141" s="138">
        <f t="shared" ref="AS141:AS171" si="71">AR141-AF141</f>
        <v>19469893.279999971</v>
      </c>
      <c r="AT141" s="138">
        <f t="shared" ref="AT141:AT171" si="72">ROUND(SUM(AG141:AS141)/13*1.5%,2)</f>
        <v>293528.37</v>
      </c>
      <c r="AU141" s="138">
        <f t="shared" ref="AU141:AU171" si="73">AT141+AD141</f>
        <v>294719.95</v>
      </c>
      <c r="AV141" s="144">
        <f t="shared" si="55"/>
        <v>16444.169999999998</v>
      </c>
      <c r="AW141" s="145">
        <f t="shared" ref="AW141:AW171" si="74">ROUND((AU141)/12,2)</f>
        <v>24560</v>
      </c>
      <c r="AX141" s="146">
        <f t="shared" si="56"/>
        <v>16444.169999999998</v>
      </c>
      <c r="AY141" s="138"/>
      <c r="AZ141" s="138"/>
      <c r="BA141" s="147"/>
      <c r="BB141" s="148"/>
    </row>
    <row r="142" spans="1:56" ht="36" x14ac:dyDescent="0.25">
      <c r="A142" s="132"/>
      <c r="B142" s="132">
        <v>3</v>
      </c>
      <c r="C142" s="132" t="s">
        <v>284</v>
      </c>
      <c r="D142" s="132" t="s">
        <v>285</v>
      </c>
      <c r="E142" s="132" t="s">
        <v>286</v>
      </c>
      <c r="F142" s="133" t="s">
        <v>287</v>
      </c>
      <c r="G142" s="134">
        <v>54</v>
      </c>
      <c r="H142" s="134" t="s">
        <v>288</v>
      </c>
      <c r="I142" s="149">
        <v>1</v>
      </c>
      <c r="J142" s="150">
        <v>19598000</v>
      </c>
      <c r="K142" s="151"/>
      <c r="L142" s="146">
        <v>19532673.319999993</v>
      </c>
      <c r="M142" s="146">
        <f t="shared" si="38"/>
        <v>19532673.319999993</v>
      </c>
      <c r="N142" s="146">
        <v>1</v>
      </c>
      <c r="O142" s="146">
        <v>43.8</v>
      </c>
      <c r="P142" s="149"/>
      <c r="Q142" s="149"/>
      <c r="R142" s="149"/>
      <c r="S142" s="149"/>
      <c r="T142" s="149"/>
      <c r="U142" s="139" t="s">
        <v>291</v>
      </c>
      <c r="V142" s="140" t="s">
        <v>56</v>
      </c>
      <c r="W142" s="132"/>
      <c r="X142" s="141"/>
      <c r="Y142" s="141"/>
      <c r="Z142" s="141">
        <v>19.3</v>
      </c>
      <c r="AA142" s="141" t="s">
        <v>89</v>
      </c>
      <c r="AB142" s="141">
        <f t="shared" si="42"/>
        <v>1.4</v>
      </c>
      <c r="AC142" s="142">
        <f t="shared" si="43"/>
        <v>27.02</v>
      </c>
      <c r="AD142" s="138">
        <f t="shared" si="44"/>
        <v>1183.48</v>
      </c>
      <c r="AE142" s="138">
        <f t="shared" si="57"/>
        <v>394.49</v>
      </c>
      <c r="AF142" s="143">
        <f t="shared" si="58"/>
        <v>16331.67</v>
      </c>
      <c r="AG142" s="138">
        <f t="shared" si="59"/>
        <v>19532673.319999993</v>
      </c>
      <c r="AH142" s="138">
        <f t="shared" si="60"/>
        <v>19516341.649999991</v>
      </c>
      <c r="AI142" s="138">
        <f t="shared" si="61"/>
        <v>19500009.979999989</v>
      </c>
      <c r="AJ142" s="138">
        <f t="shared" si="62"/>
        <v>19483678.309999987</v>
      </c>
      <c r="AK142" s="138">
        <f t="shared" si="63"/>
        <v>19467346.639999986</v>
      </c>
      <c r="AL142" s="138">
        <f t="shared" si="64"/>
        <v>19451014.969999984</v>
      </c>
      <c r="AM142" s="138">
        <f t="shared" si="65"/>
        <v>19434683.299999982</v>
      </c>
      <c r="AN142" s="138">
        <f t="shared" si="66"/>
        <v>19418351.62999998</v>
      </c>
      <c r="AO142" s="138">
        <f t="shared" si="67"/>
        <v>19402019.959999979</v>
      </c>
      <c r="AP142" s="138">
        <f t="shared" si="68"/>
        <v>19385688.289999977</v>
      </c>
      <c r="AQ142" s="138">
        <f t="shared" si="69"/>
        <v>19369356.619999975</v>
      </c>
      <c r="AR142" s="138">
        <f t="shared" si="70"/>
        <v>19353024.949999973</v>
      </c>
      <c r="AS142" s="138">
        <f t="shared" si="71"/>
        <v>19336693.279999971</v>
      </c>
      <c r="AT142" s="138">
        <f t="shared" si="72"/>
        <v>291520.25</v>
      </c>
      <c r="AU142" s="138">
        <f t="shared" si="73"/>
        <v>292703.73</v>
      </c>
      <c r="AV142" s="144">
        <f t="shared" si="55"/>
        <v>16331.67</v>
      </c>
      <c r="AW142" s="145">
        <f t="shared" si="74"/>
        <v>24391.98</v>
      </c>
      <c r="AX142" s="146">
        <f t="shared" si="56"/>
        <v>16331.67</v>
      </c>
      <c r="AY142" s="138"/>
      <c r="AZ142" s="138"/>
      <c r="BA142" s="147"/>
      <c r="BB142" s="148"/>
    </row>
    <row r="143" spans="1:56" ht="36" x14ac:dyDescent="0.25">
      <c r="A143" s="132"/>
      <c r="B143" s="132">
        <v>4</v>
      </c>
      <c r="C143" s="132" t="s">
        <v>284</v>
      </c>
      <c r="D143" s="132" t="s">
        <v>285</v>
      </c>
      <c r="E143" s="132" t="s">
        <v>286</v>
      </c>
      <c r="F143" s="133" t="s">
        <v>287</v>
      </c>
      <c r="G143" s="134">
        <v>55</v>
      </c>
      <c r="H143" s="134" t="s">
        <v>288</v>
      </c>
      <c r="I143" s="149">
        <v>1</v>
      </c>
      <c r="J143" s="150">
        <v>19643000</v>
      </c>
      <c r="K143" s="151"/>
      <c r="L143" s="146">
        <v>19577523.319999993</v>
      </c>
      <c r="M143" s="146">
        <f t="shared" si="38"/>
        <v>19577523.319999993</v>
      </c>
      <c r="N143" s="146">
        <v>1</v>
      </c>
      <c r="O143" s="146">
        <v>43.9</v>
      </c>
      <c r="P143" s="149"/>
      <c r="Q143" s="149"/>
      <c r="R143" s="149"/>
      <c r="S143" s="149"/>
      <c r="T143" s="149"/>
      <c r="U143" s="139" t="s">
        <v>292</v>
      </c>
      <c r="V143" s="140" t="s">
        <v>56</v>
      </c>
      <c r="W143" s="132"/>
      <c r="X143" s="141"/>
      <c r="Y143" s="141"/>
      <c r="Z143" s="141">
        <v>19.3</v>
      </c>
      <c r="AA143" s="141" t="s">
        <v>89</v>
      </c>
      <c r="AB143" s="141">
        <f t="shared" si="42"/>
        <v>1.4</v>
      </c>
      <c r="AC143" s="142">
        <f t="shared" si="43"/>
        <v>27.02</v>
      </c>
      <c r="AD143" s="138">
        <f t="shared" si="44"/>
        <v>1186.18</v>
      </c>
      <c r="AE143" s="138">
        <f t="shared" si="57"/>
        <v>395.39</v>
      </c>
      <c r="AF143" s="143">
        <f t="shared" si="58"/>
        <v>16369.17</v>
      </c>
      <c r="AG143" s="138">
        <f t="shared" si="59"/>
        <v>19577523.319999993</v>
      </c>
      <c r="AH143" s="138">
        <f t="shared" si="60"/>
        <v>19561154.149999991</v>
      </c>
      <c r="AI143" s="138">
        <f t="shared" si="61"/>
        <v>19544784.979999989</v>
      </c>
      <c r="AJ143" s="138">
        <f t="shared" si="62"/>
        <v>19528415.809999987</v>
      </c>
      <c r="AK143" s="138">
        <f t="shared" si="63"/>
        <v>19512046.639999986</v>
      </c>
      <c r="AL143" s="138">
        <f t="shared" si="64"/>
        <v>19495677.469999984</v>
      </c>
      <c r="AM143" s="138">
        <f t="shared" si="65"/>
        <v>19479308.299999982</v>
      </c>
      <c r="AN143" s="138">
        <f t="shared" si="66"/>
        <v>19462939.12999998</v>
      </c>
      <c r="AO143" s="138">
        <f t="shared" si="67"/>
        <v>19446569.959999979</v>
      </c>
      <c r="AP143" s="138">
        <f t="shared" si="68"/>
        <v>19430200.789999977</v>
      </c>
      <c r="AQ143" s="138">
        <f t="shared" si="69"/>
        <v>19413831.619999975</v>
      </c>
      <c r="AR143" s="138">
        <f t="shared" si="70"/>
        <v>19397462.449999973</v>
      </c>
      <c r="AS143" s="138">
        <f t="shared" si="71"/>
        <v>19381093.279999971</v>
      </c>
      <c r="AT143" s="138">
        <f t="shared" si="72"/>
        <v>292189.62</v>
      </c>
      <c r="AU143" s="138">
        <f t="shared" si="73"/>
        <v>293375.8</v>
      </c>
      <c r="AV143" s="144">
        <f t="shared" si="55"/>
        <v>16369.17</v>
      </c>
      <c r="AW143" s="145">
        <f t="shared" si="74"/>
        <v>24447.98</v>
      </c>
      <c r="AX143" s="146">
        <f t="shared" si="56"/>
        <v>16369.17</v>
      </c>
      <c r="AY143" s="138"/>
      <c r="AZ143" s="138"/>
      <c r="BA143" s="147"/>
      <c r="BB143" s="148"/>
    </row>
    <row r="144" spans="1:56" ht="36" x14ac:dyDescent="0.25">
      <c r="A144" s="132"/>
      <c r="B144" s="132">
        <v>5</v>
      </c>
      <c r="C144" s="132" t="s">
        <v>284</v>
      </c>
      <c r="D144" s="132" t="s">
        <v>285</v>
      </c>
      <c r="E144" s="132" t="s">
        <v>286</v>
      </c>
      <c r="F144" s="133" t="s">
        <v>287</v>
      </c>
      <c r="G144" s="134">
        <v>61</v>
      </c>
      <c r="H144" s="134" t="s">
        <v>288</v>
      </c>
      <c r="I144" s="149">
        <v>1</v>
      </c>
      <c r="J144" s="150">
        <v>19598000</v>
      </c>
      <c r="K144" s="151"/>
      <c r="L144" s="146">
        <v>19532673.319999993</v>
      </c>
      <c r="M144" s="146">
        <f t="shared" si="38"/>
        <v>19532673.319999993</v>
      </c>
      <c r="N144" s="146">
        <v>1</v>
      </c>
      <c r="O144" s="146">
        <v>43.8</v>
      </c>
      <c r="P144" s="149"/>
      <c r="Q144" s="149"/>
      <c r="R144" s="149"/>
      <c r="S144" s="149"/>
      <c r="T144" s="149"/>
      <c r="U144" s="139" t="s">
        <v>293</v>
      </c>
      <c r="V144" s="140" t="s">
        <v>56</v>
      </c>
      <c r="W144" s="132"/>
      <c r="X144" s="141"/>
      <c r="Y144" s="141"/>
      <c r="Z144" s="141">
        <v>19.3</v>
      </c>
      <c r="AA144" s="141" t="s">
        <v>89</v>
      </c>
      <c r="AB144" s="141">
        <f t="shared" si="42"/>
        <v>1.4</v>
      </c>
      <c r="AC144" s="142">
        <f t="shared" si="43"/>
        <v>27.02</v>
      </c>
      <c r="AD144" s="138">
        <f t="shared" si="44"/>
        <v>1183.48</v>
      </c>
      <c r="AE144" s="138">
        <f t="shared" si="57"/>
        <v>394.49</v>
      </c>
      <c r="AF144" s="143">
        <f t="shared" si="58"/>
        <v>16331.67</v>
      </c>
      <c r="AG144" s="138">
        <f t="shared" si="59"/>
        <v>19532673.319999993</v>
      </c>
      <c r="AH144" s="138">
        <f t="shared" si="60"/>
        <v>19516341.649999991</v>
      </c>
      <c r="AI144" s="138">
        <f t="shared" si="61"/>
        <v>19500009.979999989</v>
      </c>
      <c r="AJ144" s="138">
        <f t="shared" si="62"/>
        <v>19483678.309999987</v>
      </c>
      <c r="AK144" s="138">
        <f t="shared" si="63"/>
        <v>19467346.639999986</v>
      </c>
      <c r="AL144" s="138">
        <f t="shared" si="64"/>
        <v>19451014.969999984</v>
      </c>
      <c r="AM144" s="138">
        <f t="shared" si="65"/>
        <v>19434683.299999982</v>
      </c>
      <c r="AN144" s="138">
        <f t="shared" si="66"/>
        <v>19418351.62999998</v>
      </c>
      <c r="AO144" s="138">
        <f t="shared" si="67"/>
        <v>19402019.959999979</v>
      </c>
      <c r="AP144" s="138">
        <f t="shared" si="68"/>
        <v>19385688.289999977</v>
      </c>
      <c r="AQ144" s="138">
        <f t="shared" si="69"/>
        <v>19369356.619999975</v>
      </c>
      <c r="AR144" s="138">
        <f t="shared" si="70"/>
        <v>19353024.949999973</v>
      </c>
      <c r="AS144" s="138">
        <f t="shared" si="71"/>
        <v>19336693.279999971</v>
      </c>
      <c r="AT144" s="138">
        <f t="shared" si="72"/>
        <v>291520.25</v>
      </c>
      <c r="AU144" s="138">
        <f t="shared" si="73"/>
        <v>292703.73</v>
      </c>
      <c r="AV144" s="144">
        <f t="shared" si="55"/>
        <v>16331.67</v>
      </c>
      <c r="AW144" s="145">
        <f t="shared" si="74"/>
        <v>24391.98</v>
      </c>
      <c r="AX144" s="146">
        <f t="shared" si="56"/>
        <v>16331.67</v>
      </c>
      <c r="AY144" s="138"/>
      <c r="AZ144" s="138"/>
      <c r="BA144" s="147"/>
      <c r="BB144" s="148"/>
    </row>
    <row r="145" spans="1:54" ht="36" x14ac:dyDescent="0.25">
      <c r="A145" s="132"/>
      <c r="B145" s="132">
        <v>6</v>
      </c>
      <c r="C145" s="132" t="s">
        <v>284</v>
      </c>
      <c r="D145" s="132" t="s">
        <v>285</v>
      </c>
      <c r="E145" s="132" t="s">
        <v>286</v>
      </c>
      <c r="F145" s="133" t="s">
        <v>287</v>
      </c>
      <c r="G145" s="134">
        <v>62</v>
      </c>
      <c r="H145" s="134" t="s">
        <v>288</v>
      </c>
      <c r="I145" s="149">
        <v>1</v>
      </c>
      <c r="J145" s="150">
        <v>19688000</v>
      </c>
      <c r="K145" s="151"/>
      <c r="L145" s="146">
        <v>19622373.319999993</v>
      </c>
      <c r="M145" s="146">
        <f t="shared" si="38"/>
        <v>19622373.319999993</v>
      </c>
      <c r="N145" s="146">
        <v>1</v>
      </c>
      <c r="O145" s="146">
        <v>44</v>
      </c>
      <c r="P145" s="149"/>
      <c r="Q145" s="149"/>
      <c r="R145" s="149"/>
      <c r="S145" s="149"/>
      <c r="T145" s="149"/>
      <c r="U145" s="139" t="s">
        <v>294</v>
      </c>
      <c r="V145" s="140" t="s">
        <v>56</v>
      </c>
      <c r="W145" s="132"/>
      <c r="X145" s="141"/>
      <c r="Y145" s="141"/>
      <c r="Z145" s="141">
        <v>19.3</v>
      </c>
      <c r="AA145" s="141" t="s">
        <v>89</v>
      </c>
      <c r="AB145" s="141">
        <f t="shared" si="42"/>
        <v>1.4</v>
      </c>
      <c r="AC145" s="142">
        <f t="shared" si="43"/>
        <v>27.02</v>
      </c>
      <c r="AD145" s="138">
        <f t="shared" si="44"/>
        <v>1188.8800000000001</v>
      </c>
      <c r="AE145" s="138">
        <f t="shared" si="57"/>
        <v>396.29</v>
      </c>
      <c r="AF145" s="143">
        <f t="shared" si="58"/>
        <v>16406.669999999998</v>
      </c>
      <c r="AG145" s="138">
        <f t="shared" si="59"/>
        <v>19622373.319999993</v>
      </c>
      <c r="AH145" s="138">
        <f t="shared" si="60"/>
        <v>19605966.649999991</v>
      </c>
      <c r="AI145" s="138">
        <f t="shared" si="61"/>
        <v>19589559.979999989</v>
      </c>
      <c r="AJ145" s="138">
        <f t="shared" si="62"/>
        <v>19573153.309999987</v>
      </c>
      <c r="AK145" s="138">
        <f t="shared" si="63"/>
        <v>19556746.639999986</v>
      </c>
      <c r="AL145" s="138">
        <f t="shared" si="64"/>
        <v>19540339.969999984</v>
      </c>
      <c r="AM145" s="138">
        <f t="shared" si="65"/>
        <v>19523933.299999982</v>
      </c>
      <c r="AN145" s="138">
        <f t="shared" si="66"/>
        <v>19507526.62999998</v>
      </c>
      <c r="AO145" s="138">
        <f t="shared" si="67"/>
        <v>19491119.959999979</v>
      </c>
      <c r="AP145" s="138">
        <f t="shared" si="68"/>
        <v>19474713.289999977</v>
      </c>
      <c r="AQ145" s="138">
        <f t="shared" si="69"/>
        <v>19458306.619999975</v>
      </c>
      <c r="AR145" s="138">
        <f t="shared" si="70"/>
        <v>19441899.949999973</v>
      </c>
      <c r="AS145" s="138">
        <f t="shared" si="71"/>
        <v>19425493.279999971</v>
      </c>
      <c r="AT145" s="138">
        <f t="shared" si="72"/>
        <v>292859</v>
      </c>
      <c r="AU145" s="138">
        <f t="shared" si="73"/>
        <v>294047.88</v>
      </c>
      <c r="AV145" s="144">
        <f t="shared" si="55"/>
        <v>16406.669999999998</v>
      </c>
      <c r="AW145" s="145">
        <f t="shared" si="74"/>
        <v>24503.99</v>
      </c>
      <c r="AX145" s="146">
        <f t="shared" si="56"/>
        <v>16406.669999999998</v>
      </c>
      <c r="AY145" s="138"/>
      <c r="AZ145" s="138"/>
      <c r="BA145" s="147"/>
      <c r="BB145" s="148"/>
    </row>
    <row r="146" spans="1:54" ht="36" x14ac:dyDescent="0.25">
      <c r="A146" s="132"/>
      <c r="B146" s="132">
        <v>7</v>
      </c>
      <c r="C146" s="132" t="s">
        <v>284</v>
      </c>
      <c r="D146" s="132" t="s">
        <v>295</v>
      </c>
      <c r="E146" s="132" t="s">
        <v>296</v>
      </c>
      <c r="F146" s="132">
        <v>5</v>
      </c>
      <c r="G146" s="134">
        <v>7</v>
      </c>
      <c r="H146" s="134" t="s">
        <v>297</v>
      </c>
      <c r="I146" s="149">
        <v>1</v>
      </c>
      <c r="J146" s="150">
        <v>20662000</v>
      </c>
      <c r="K146" s="151"/>
      <c r="L146" s="146">
        <v>20593126.680000007</v>
      </c>
      <c r="M146" s="146">
        <f t="shared" si="38"/>
        <v>20593126.680000007</v>
      </c>
      <c r="N146" s="146">
        <v>1</v>
      </c>
      <c r="O146" s="146">
        <v>41.9</v>
      </c>
      <c r="P146" s="149"/>
      <c r="Q146" s="149"/>
      <c r="R146" s="149"/>
      <c r="S146" s="149"/>
      <c r="T146" s="149"/>
      <c r="U146" s="139" t="s">
        <v>298</v>
      </c>
      <c r="V146" s="140" t="s">
        <v>56</v>
      </c>
      <c r="W146" s="132"/>
      <c r="X146" s="141"/>
      <c r="Y146" s="141"/>
      <c r="Z146" s="141">
        <v>19.3</v>
      </c>
      <c r="AA146" s="141" t="s">
        <v>299</v>
      </c>
      <c r="AB146" s="141">
        <f t="shared" si="42"/>
        <v>0.7</v>
      </c>
      <c r="AC146" s="142">
        <f t="shared" si="43"/>
        <v>13.51</v>
      </c>
      <c r="AD146" s="138">
        <f t="shared" si="44"/>
        <v>566.07000000000005</v>
      </c>
      <c r="AE146" s="138">
        <f t="shared" si="57"/>
        <v>188.69</v>
      </c>
      <c r="AF146" s="143">
        <f t="shared" si="58"/>
        <v>17218.330000000002</v>
      </c>
      <c r="AG146" s="138">
        <f t="shared" si="59"/>
        <v>20593126.680000007</v>
      </c>
      <c r="AH146" s="138">
        <f t="shared" si="60"/>
        <v>20575908.350000009</v>
      </c>
      <c r="AI146" s="138">
        <f t="shared" si="61"/>
        <v>20558690.020000011</v>
      </c>
      <c r="AJ146" s="138">
        <f t="shared" si="62"/>
        <v>20541471.690000013</v>
      </c>
      <c r="AK146" s="138">
        <f t="shared" si="63"/>
        <v>20524253.360000014</v>
      </c>
      <c r="AL146" s="138">
        <f t="shared" si="64"/>
        <v>20507035.030000016</v>
      </c>
      <c r="AM146" s="138">
        <f t="shared" si="65"/>
        <v>20489816.700000018</v>
      </c>
      <c r="AN146" s="138">
        <f t="shared" si="66"/>
        <v>20472598.37000002</v>
      </c>
      <c r="AO146" s="138">
        <f t="shared" si="67"/>
        <v>20455380.040000021</v>
      </c>
      <c r="AP146" s="138">
        <f t="shared" si="68"/>
        <v>20438161.710000023</v>
      </c>
      <c r="AQ146" s="138">
        <f t="shared" si="69"/>
        <v>20420943.380000025</v>
      </c>
      <c r="AR146" s="138">
        <f t="shared" si="70"/>
        <v>20403725.050000027</v>
      </c>
      <c r="AS146" s="138">
        <f t="shared" si="71"/>
        <v>20386506.720000029</v>
      </c>
      <c r="AT146" s="138">
        <f t="shared" si="72"/>
        <v>307347.25</v>
      </c>
      <c r="AU146" s="138">
        <f t="shared" si="73"/>
        <v>307913.32</v>
      </c>
      <c r="AV146" s="144">
        <f t="shared" si="55"/>
        <v>17218.330000000002</v>
      </c>
      <c r="AW146" s="145">
        <f t="shared" si="74"/>
        <v>25659.439999999999</v>
      </c>
      <c r="AX146" s="146">
        <f t="shared" si="56"/>
        <v>17218.330000000002</v>
      </c>
      <c r="AY146" s="138"/>
      <c r="AZ146" s="138"/>
      <c r="BA146" s="147"/>
      <c r="BB146" s="148"/>
    </row>
    <row r="147" spans="1:54" ht="36" x14ac:dyDescent="0.25">
      <c r="A147" s="132"/>
      <c r="B147" s="132">
        <v>8</v>
      </c>
      <c r="C147" s="132" t="s">
        <v>284</v>
      </c>
      <c r="D147" s="132" t="s">
        <v>295</v>
      </c>
      <c r="E147" s="132" t="s">
        <v>296</v>
      </c>
      <c r="F147" s="132">
        <v>5</v>
      </c>
      <c r="G147" s="134">
        <v>12</v>
      </c>
      <c r="H147" s="134" t="s">
        <v>297</v>
      </c>
      <c r="I147" s="149">
        <v>1</v>
      </c>
      <c r="J147" s="150">
        <v>20810000</v>
      </c>
      <c r="K147" s="151"/>
      <c r="L147" s="146">
        <v>20740633.319999993</v>
      </c>
      <c r="M147" s="146">
        <f t="shared" si="38"/>
        <v>20740633.319999993</v>
      </c>
      <c r="N147" s="146">
        <v>1</v>
      </c>
      <c r="O147" s="146">
        <v>42.2</v>
      </c>
      <c r="P147" s="149"/>
      <c r="Q147" s="149"/>
      <c r="R147" s="149"/>
      <c r="S147" s="149"/>
      <c r="T147" s="149"/>
      <c r="U147" s="139" t="s">
        <v>300</v>
      </c>
      <c r="V147" s="140" t="s">
        <v>56</v>
      </c>
      <c r="W147" s="132"/>
      <c r="X147" s="141"/>
      <c r="Y147" s="141"/>
      <c r="Z147" s="141">
        <v>19.3</v>
      </c>
      <c r="AA147" s="141" t="s">
        <v>299</v>
      </c>
      <c r="AB147" s="141">
        <f t="shared" si="42"/>
        <v>0.7</v>
      </c>
      <c r="AC147" s="142">
        <f t="shared" si="43"/>
        <v>13.51</v>
      </c>
      <c r="AD147" s="138">
        <f t="shared" si="44"/>
        <v>570.12</v>
      </c>
      <c r="AE147" s="138">
        <f t="shared" si="57"/>
        <v>190.04</v>
      </c>
      <c r="AF147" s="143">
        <f t="shared" si="58"/>
        <v>17341.669999999998</v>
      </c>
      <c r="AG147" s="138">
        <f t="shared" si="59"/>
        <v>20740633.319999993</v>
      </c>
      <c r="AH147" s="138">
        <f t="shared" si="60"/>
        <v>20723291.649999991</v>
      </c>
      <c r="AI147" s="138">
        <f t="shared" si="61"/>
        <v>20705949.979999989</v>
      </c>
      <c r="AJ147" s="138">
        <f t="shared" si="62"/>
        <v>20688608.309999987</v>
      </c>
      <c r="AK147" s="138">
        <f t="shared" si="63"/>
        <v>20671266.639999986</v>
      </c>
      <c r="AL147" s="138">
        <f t="shared" si="64"/>
        <v>20653924.969999984</v>
      </c>
      <c r="AM147" s="138">
        <f t="shared" si="65"/>
        <v>20636583.299999982</v>
      </c>
      <c r="AN147" s="138">
        <f t="shared" si="66"/>
        <v>20619241.62999998</v>
      </c>
      <c r="AO147" s="138">
        <f t="shared" si="67"/>
        <v>20601899.959999979</v>
      </c>
      <c r="AP147" s="138">
        <f t="shared" si="68"/>
        <v>20584558.289999977</v>
      </c>
      <c r="AQ147" s="138">
        <f t="shared" si="69"/>
        <v>20567216.619999975</v>
      </c>
      <c r="AR147" s="138">
        <f t="shared" si="70"/>
        <v>20549874.949999973</v>
      </c>
      <c r="AS147" s="138">
        <f t="shared" si="71"/>
        <v>20532533.279999971</v>
      </c>
      <c r="AT147" s="138">
        <f t="shared" si="72"/>
        <v>309548.75</v>
      </c>
      <c r="AU147" s="138">
        <f t="shared" si="73"/>
        <v>310118.87</v>
      </c>
      <c r="AV147" s="144">
        <f t="shared" si="55"/>
        <v>17341.669999999998</v>
      </c>
      <c r="AW147" s="145">
        <f t="shared" si="74"/>
        <v>25843.24</v>
      </c>
      <c r="AX147" s="146">
        <f t="shared" si="56"/>
        <v>17341.669999999998</v>
      </c>
      <c r="AY147" s="138"/>
      <c r="AZ147" s="138"/>
      <c r="BA147" s="147"/>
      <c r="BB147" s="148"/>
    </row>
    <row r="148" spans="1:54" ht="36" x14ac:dyDescent="0.25">
      <c r="A148" s="132"/>
      <c r="B148" s="132">
        <v>9</v>
      </c>
      <c r="C148" s="132" t="s">
        <v>284</v>
      </c>
      <c r="D148" s="132" t="s">
        <v>295</v>
      </c>
      <c r="E148" s="132" t="s">
        <v>301</v>
      </c>
      <c r="F148" s="132">
        <v>5</v>
      </c>
      <c r="G148" s="134">
        <v>19</v>
      </c>
      <c r="H148" s="134" t="s">
        <v>297</v>
      </c>
      <c r="I148" s="149">
        <v>1</v>
      </c>
      <c r="J148" s="150">
        <v>20662000</v>
      </c>
      <c r="K148" s="151"/>
      <c r="L148" s="146">
        <v>20593126.680000007</v>
      </c>
      <c r="M148" s="146">
        <f t="shared" si="38"/>
        <v>20593126.680000007</v>
      </c>
      <c r="N148" s="146">
        <v>1</v>
      </c>
      <c r="O148" s="146">
        <v>41.9</v>
      </c>
      <c r="P148" s="149"/>
      <c r="Q148" s="149"/>
      <c r="R148" s="149"/>
      <c r="S148" s="149"/>
      <c r="T148" s="149"/>
      <c r="U148" s="139" t="s">
        <v>302</v>
      </c>
      <c r="V148" s="140" t="s">
        <v>56</v>
      </c>
      <c r="W148" s="132"/>
      <c r="X148" s="141"/>
      <c r="Y148" s="141"/>
      <c r="Z148" s="141">
        <v>19.3</v>
      </c>
      <c r="AA148" s="141" t="s">
        <v>299</v>
      </c>
      <c r="AB148" s="141">
        <f t="shared" si="42"/>
        <v>0.7</v>
      </c>
      <c r="AC148" s="142">
        <f t="shared" si="43"/>
        <v>13.51</v>
      </c>
      <c r="AD148" s="138">
        <f t="shared" si="44"/>
        <v>566.07000000000005</v>
      </c>
      <c r="AE148" s="138">
        <f t="shared" si="57"/>
        <v>188.69</v>
      </c>
      <c r="AF148" s="143">
        <f t="shared" si="58"/>
        <v>17218.330000000002</v>
      </c>
      <c r="AG148" s="138">
        <f t="shared" si="59"/>
        <v>20593126.680000007</v>
      </c>
      <c r="AH148" s="138">
        <f t="shared" si="60"/>
        <v>20575908.350000009</v>
      </c>
      <c r="AI148" s="138">
        <f t="shared" si="61"/>
        <v>20558690.020000011</v>
      </c>
      <c r="AJ148" s="138">
        <f t="shared" si="62"/>
        <v>20541471.690000013</v>
      </c>
      <c r="AK148" s="138">
        <f t="shared" si="63"/>
        <v>20524253.360000014</v>
      </c>
      <c r="AL148" s="138">
        <f t="shared" si="64"/>
        <v>20507035.030000016</v>
      </c>
      <c r="AM148" s="138">
        <f t="shared" si="65"/>
        <v>20489816.700000018</v>
      </c>
      <c r="AN148" s="138">
        <f t="shared" si="66"/>
        <v>20472598.37000002</v>
      </c>
      <c r="AO148" s="138">
        <f t="shared" si="67"/>
        <v>20455380.040000021</v>
      </c>
      <c r="AP148" s="138">
        <f t="shared" si="68"/>
        <v>20438161.710000023</v>
      </c>
      <c r="AQ148" s="138">
        <f t="shared" si="69"/>
        <v>20420943.380000025</v>
      </c>
      <c r="AR148" s="138">
        <f t="shared" si="70"/>
        <v>20403725.050000027</v>
      </c>
      <c r="AS148" s="138">
        <f t="shared" si="71"/>
        <v>20386506.720000029</v>
      </c>
      <c r="AT148" s="138">
        <f t="shared" si="72"/>
        <v>307347.25</v>
      </c>
      <c r="AU148" s="138">
        <f t="shared" si="73"/>
        <v>307913.32</v>
      </c>
      <c r="AV148" s="144">
        <f t="shared" si="55"/>
        <v>17218.330000000002</v>
      </c>
      <c r="AW148" s="145">
        <f t="shared" si="74"/>
        <v>25659.439999999999</v>
      </c>
      <c r="AX148" s="146">
        <f t="shared" si="56"/>
        <v>17218.330000000002</v>
      </c>
      <c r="AY148" s="138"/>
      <c r="AZ148" s="138"/>
      <c r="BA148" s="147"/>
      <c r="BB148" s="148"/>
    </row>
    <row r="149" spans="1:54" ht="36" x14ac:dyDescent="0.25">
      <c r="A149" s="132"/>
      <c r="B149" s="132">
        <v>10</v>
      </c>
      <c r="C149" s="132" t="s">
        <v>284</v>
      </c>
      <c r="D149" s="132" t="s">
        <v>295</v>
      </c>
      <c r="E149" s="132" t="s">
        <v>301</v>
      </c>
      <c r="F149" s="132">
        <v>5</v>
      </c>
      <c r="G149" s="134">
        <v>22</v>
      </c>
      <c r="H149" s="134" t="s">
        <v>297</v>
      </c>
      <c r="I149" s="149">
        <v>1</v>
      </c>
      <c r="J149" s="150">
        <v>20810000</v>
      </c>
      <c r="K149" s="151"/>
      <c r="L149" s="146">
        <v>20740633.319999993</v>
      </c>
      <c r="M149" s="146">
        <f t="shared" si="38"/>
        <v>20740633.319999993</v>
      </c>
      <c r="N149" s="146">
        <v>1</v>
      </c>
      <c r="O149" s="146">
        <v>42.2</v>
      </c>
      <c r="P149" s="149"/>
      <c r="Q149" s="149"/>
      <c r="R149" s="149"/>
      <c r="S149" s="149"/>
      <c r="T149" s="149"/>
      <c r="U149" s="139" t="s">
        <v>303</v>
      </c>
      <c r="V149" s="140" t="s">
        <v>56</v>
      </c>
      <c r="W149" s="132"/>
      <c r="X149" s="141"/>
      <c r="Y149" s="141"/>
      <c r="Z149" s="141">
        <v>19.3</v>
      </c>
      <c r="AA149" s="141" t="s">
        <v>299</v>
      </c>
      <c r="AB149" s="141">
        <f t="shared" si="42"/>
        <v>0.7</v>
      </c>
      <c r="AC149" s="142">
        <f t="shared" si="43"/>
        <v>13.51</v>
      </c>
      <c r="AD149" s="138">
        <f t="shared" si="44"/>
        <v>570.12</v>
      </c>
      <c r="AE149" s="138">
        <f t="shared" si="57"/>
        <v>190.04</v>
      </c>
      <c r="AF149" s="143">
        <f t="shared" si="58"/>
        <v>17341.669999999998</v>
      </c>
      <c r="AG149" s="138">
        <f t="shared" si="59"/>
        <v>20740633.319999993</v>
      </c>
      <c r="AH149" s="138">
        <f t="shared" si="60"/>
        <v>20723291.649999991</v>
      </c>
      <c r="AI149" s="138">
        <f t="shared" si="61"/>
        <v>20705949.979999989</v>
      </c>
      <c r="AJ149" s="138">
        <f t="shared" si="62"/>
        <v>20688608.309999987</v>
      </c>
      <c r="AK149" s="138">
        <f t="shared" si="63"/>
        <v>20671266.639999986</v>
      </c>
      <c r="AL149" s="138">
        <f t="shared" si="64"/>
        <v>20653924.969999984</v>
      </c>
      <c r="AM149" s="138">
        <f t="shared" si="65"/>
        <v>20636583.299999982</v>
      </c>
      <c r="AN149" s="138">
        <f t="shared" si="66"/>
        <v>20619241.62999998</v>
      </c>
      <c r="AO149" s="138">
        <f t="shared" si="67"/>
        <v>20601899.959999979</v>
      </c>
      <c r="AP149" s="138">
        <f t="shared" si="68"/>
        <v>20584558.289999977</v>
      </c>
      <c r="AQ149" s="138">
        <f t="shared" si="69"/>
        <v>20567216.619999975</v>
      </c>
      <c r="AR149" s="138">
        <f t="shared" si="70"/>
        <v>20549874.949999973</v>
      </c>
      <c r="AS149" s="138">
        <f t="shared" si="71"/>
        <v>20532533.279999971</v>
      </c>
      <c r="AT149" s="138">
        <f t="shared" si="72"/>
        <v>309548.75</v>
      </c>
      <c r="AU149" s="138">
        <f t="shared" si="73"/>
        <v>310118.87</v>
      </c>
      <c r="AV149" s="144">
        <f t="shared" si="55"/>
        <v>17341.669999999998</v>
      </c>
      <c r="AW149" s="145">
        <f t="shared" si="74"/>
        <v>25843.24</v>
      </c>
      <c r="AX149" s="146">
        <f t="shared" si="56"/>
        <v>17341.669999999998</v>
      </c>
      <c r="AY149" s="138"/>
      <c r="AZ149" s="138"/>
      <c r="BA149" s="147"/>
      <c r="BB149" s="148"/>
    </row>
    <row r="150" spans="1:54" ht="36" x14ac:dyDescent="0.25">
      <c r="A150" s="132"/>
      <c r="B150" s="132">
        <v>11</v>
      </c>
      <c r="C150" s="132" t="s">
        <v>284</v>
      </c>
      <c r="D150" s="132" t="s">
        <v>295</v>
      </c>
      <c r="E150" s="132" t="s">
        <v>301</v>
      </c>
      <c r="F150" s="132">
        <v>5</v>
      </c>
      <c r="G150" s="134">
        <v>24</v>
      </c>
      <c r="H150" s="134" t="s">
        <v>297</v>
      </c>
      <c r="I150" s="149">
        <v>1</v>
      </c>
      <c r="J150" s="150">
        <v>20662000</v>
      </c>
      <c r="K150" s="151"/>
      <c r="L150" s="146">
        <v>20593126.680000007</v>
      </c>
      <c r="M150" s="146">
        <f t="shared" si="38"/>
        <v>20593126.680000007</v>
      </c>
      <c r="N150" s="146">
        <v>1</v>
      </c>
      <c r="O150" s="146">
        <v>41.9</v>
      </c>
      <c r="P150" s="149"/>
      <c r="Q150" s="149"/>
      <c r="R150" s="149"/>
      <c r="S150" s="149"/>
      <c r="T150" s="149"/>
      <c r="U150" s="139" t="s">
        <v>304</v>
      </c>
      <c r="V150" s="140" t="s">
        <v>56</v>
      </c>
      <c r="W150" s="132"/>
      <c r="X150" s="141"/>
      <c r="Y150" s="141"/>
      <c r="Z150" s="141">
        <v>19.3</v>
      </c>
      <c r="AA150" s="141" t="s">
        <v>299</v>
      </c>
      <c r="AB150" s="141">
        <f t="shared" si="42"/>
        <v>0.7</v>
      </c>
      <c r="AC150" s="142">
        <f t="shared" si="43"/>
        <v>13.51</v>
      </c>
      <c r="AD150" s="138">
        <f t="shared" si="44"/>
        <v>566.07000000000005</v>
      </c>
      <c r="AE150" s="138">
        <f t="shared" si="57"/>
        <v>188.69</v>
      </c>
      <c r="AF150" s="143">
        <f t="shared" si="58"/>
        <v>17218.330000000002</v>
      </c>
      <c r="AG150" s="138">
        <f t="shared" si="59"/>
        <v>20593126.680000007</v>
      </c>
      <c r="AH150" s="138">
        <f t="shared" si="60"/>
        <v>20575908.350000009</v>
      </c>
      <c r="AI150" s="138">
        <f t="shared" si="61"/>
        <v>20558690.020000011</v>
      </c>
      <c r="AJ150" s="138">
        <f t="shared" si="62"/>
        <v>20541471.690000013</v>
      </c>
      <c r="AK150" s="138">
        <f t="shared" si="63"/>
        <v>20524253.360000014</v>
      </c>
      <c r="AL150" s="138">
        <f t="shared" si="64"/>
        <v>20507035.030000016</v>
      </c>
      <c r="AM150" s="138">
        <f t="shared" si="65"/>
        <v>20489816.700000018</v>
      </c>
      <c r="AN150" s="138">
        <f t="shared" si="66"/>
        <v>20472598.37000002</v>
      </c>
      <c r="AO150" s="138">
        <f t="shared" si="67"/>
        <v>20455380.040000021</v>
      </c>
      <c r="AP150" s="138">
        <f t="shared" si="68"/>
        <v>20438161.710000023</v>
      </c>
      <c r="AQ150" s="138">
        <f t="shared" si="69"/>
        <v>20420943.380000025</v>
      </c>
      <c r="AR150" s="138">
        <f t="shared" si="70"/>
        <v>20403725.050000027</v>
      </c>
      <c r="AS150" s="138">
        <f t="shared" si="71"/>
        <v>20386506.720000029</v>
      </c>
      <c r="AT150" s="138">
        <f t="shared" si="72"/>
        <v>307347.25</v>
      </c>
      <c r="AU150" s="138">
        <f t="shared" si="73"/>
        <v>307913.32</v>
      </c>
      <c r="AV150" s="144">
        <f t="shared" si="55"/>
        <v>17218.330000000002</v>
      </c>
      <c r="AW150" s="145">
        <f t="shared" si="74"/>
        <v>25659.439999999999</v>
      </c>
      <c r="AX150" s="146">
        <f t="shared" si="56"/>
        <v>17218.330000000002</v>
      </c>
      <c r="AY150" s="138"/>
      <c r="AZ150" s="138"/>
      <c r="BA150" s="147"/>
      <c r="BB150" s="148"/>
    </row>
    <row r="151" spans="1:54" ht="36" x14ac:dyDescent="0.25">
      <c r="A151" s="132"/>
      <c r="B151" s="132">
        <v>12</v>
      </c>
      <c r="C151" s="132" t="s">
        <v>284</v>
      </c>
      <c r="D151" s="132" t="s">
        <v>295</v>
      </c>
      <c r="E151" s="132" t="s">
        <v>301</v>
      </c>
      <c r="F151" s="132">
        <v>5</v>
      </c>
      <c r="G151" s="134">
        <v>29</v>
      </c>
      <c r="H151" s="134" t="s">
        <v>297</v>
      </c>
      <c r="I151" s="149">
        <v>1</v>
      </c>
      <c r="J151" s="150">
        <v>20514000</v>
      </c>
      <c r="K151" s="151"/>
      <c r="L151" s="146">
        <v>20445620</v>
      </c>
      <c r="M151" s="146">
        <f t="shared" si="38"/>
        <v>20445620</v>
      </c>
      <c r="N151" s="146">
        <v>1</v>
      </c>
      <c r="O151" s="146">
        <v>41.6</v>
      </c>
      <c r="P151" s="149"/>
      <c r="Q151" s="149"/>
      <c r="R151" s="149"/>
      <c r="S151" s="149"/>
      <c r="T151" s="149"/>
      <c r="U151" s="139" t="s">
        <v>305</v>
      </c>
      <c r="V151" s="140" t="s">
        <v>56</v>
      </c>
      <c r="W151" s="132"/>
      <c r="X151" s="141"/>
      <c r="Y151" s="141"/>
      <c r="Z151" s="141">
        <v>19.3</v>
      </c>
      <c r="AA151" s="141" t="s">
        <v>299</v>
      </c>
      <c r="AB151" s="141">
        <f t="shared" si="42"/>
        <v>0.7</v>
      </c>
      <c r="AC151" s="142">
        <f t="shared" si="43"/>
        <v>13.51</v>
      </c>
      <c r="AD151" s="138">
        <f t="shared" si="44"/>
        <v>562.02</v>
      </c>
      <c r="AE151" s="138">
        <f t="shared" si="57"/>
        <v>187.34</v>
      </c>
      <c r="AF151" s="143">
        <f t="shared" si="58"/>
        <v>17095</v>
      </c>
      <c r="AG151" s="138">
        <f t="shared" si="59"/>
        <v>20445620</v>
      </c>
      <c r="AH151" s="138">
        <f t="shared" si="60"/>
        <v>20428525</v>
      </c>
      <c r="AI151" s="138">
        <f t="shared" si="61"/>
        <v>20411430</v>
      </c>
      <c r="AJ151" s="138">
        <f t="shared" si="62"/>
        <v>20394335</v>
      </c>
      <c r="AK151" s="138">
        <f t="shared" si="63"/>
        <v>20377240</v>
      </c>
      <c r="AL151" s="138">
        <f t="shared" si="64"/>
        <v>20360145</v>
      </c>
      <c r="AM151" s="138">
        <f t="shared" si="65"/>
        <v>20343050</v>
      </c>
      <c r="AN151" s="138">
        <f t="shared" si="66"/>
        <v>20325955</v>
      </c>
      <c r="AO151" s="138">
        <f t="shared" si="67"/>
        <v>20308860</v>
      </c>
      <c r="AP151" s="138">
        <f t="shared" si="68"/>
        <v>20291765</v>
      </c>
      <c r="AQ151" s="138">
        <f t="shared" si="69"/>
        <v>20274670</v>
      </c>
      <c r="AR151" s="138">
        <f t="shared" si="70"/>
        <v>20257575</v>
      </c>
      <c r="AS151" s="138">
        <f t="shared" si="71"/>
        <v>20240480</v>
      </c>
      <c r="AT151" s="138">
        <f t="shared" si="72"/>
        <v>305145.75</v>
      </c>
      <c r="AU151" s="138">
        <f t="shared" si="73"/>
        <v>305707.77</v>
      </c>
      <c r="AV151" s="144">
        <f t="shared" si="55"/>
        <v>17095</v>
      </c>
      <c r="AW151" s="145">
        <f t="shared" si="74"/>
        <v>25475.65</v>
      </c>
      <c r="AX151" s="146">
        <f t="shared" si="56"/>
        <v>17095</v>
      </c>
      <c r="AY151" s="138"/>
      <c r="AZ151" s="138"/>
      <c r="BA151" s="147"/>
      <c r="BB151" s="148"/>
    </row>
    <row r="152" spans="1:54" ht="36" x14ac:dyDescent="0.25">
      <c r="A152" s="132"/>
      <c r="B152" s="132">
        <v>13</v>
      </c>
      <c r="C152" s="132" t="s">
        <v>284</v>
      </c>
      <c r="D152" s="132" t="s">
        <v>295</v>
      </c>
      <c r="E152" s="132" t="s">
        <v>301</v>
      </c>
      <c r="F152" s="132">
        <v>5</v>
      </c>
      <c r="G152" s="134">
        <v>47</v>
      </c>
      <c r="H152" s="134" t="s">
        <v>297</v>
      </c>
      <c r="I152" s="149">
        <v>1</v>
      </c>
      <c r="J152" s="150">
        <v>22634000</v>
      </c>
      <c r="K152" s="151"/>
      <c r="L152" s="146">
        <v>22558553.319999993</v>
      </c>
      <c r="M152" s="146">
        <f t="shared" ref="M152:M171" si="75">L152</f>
        <v>22558553.319999993</v>
      </c>
      <c r="N152" s="146">
        <v>1</v>
      </c>
      <c r="O152" s="146">
        <v>45.9</v>
      </c>
      <c r="P152" s="149"/>
      <c r="Q152" s="149"/>
      <c r="R152" s="149"/>
      <c r="S152" s="149"/>
      <c r="T152" s="149"/>
      <c r="U152" s="139" t="s">
        <v>180</v>
      </c>
      <c r="V152" s="140" t="s">
        <v>56</v>
      </c>
      <c r="W152" s="132"/>
      <c r="X152" s="141"/>
      <c r="Y152" s="141"/>
      <c r="Z152" s="141">
        <v>19.3</v>
      </c>
      <c r="AA152" s="141" t="s">
        <v>299</v>
      </c>
      <c r="AB152" s="141">
        <f t="shared" si="42"/>
        <v>0.7</v>
      </c>
      <c r="AC152" s="142">
        <f t="shared" si="43"/>
        <v>13.51</v>
      </c>
      <c r="AD152" s="138">
        <f t="shared" si="44"/>
        <v>620.11</v>
      </c>
      <c r="AE152" s="138">
        <f t="shared" si="57"/>
        <v>206.7</v>
      </c>
      <c r="AF152" s="143">
        <f t="shared" si="58"/>
        <v>18861.669999999998</v>
      </c>
      <c r="AG152" s="138">
        <f t="shared" si="59"/>
        <v>22558553.319999993</v>
      </c>
      <c r="AH152" s="138">
        <f t="shared" si="60"/>
        <v>22539691.649999991</v>
      </c>
      <c r="AI152" s="138">
        <f t="shared" si="61"/>
        <v>22520829.979999989</v>
      </c>
      <c r="AJ152" s="138">
        <f t="shared" si="62"/>
        <v>22501968.309999987</v>
      </c>
      <c r="AK152" s="138">
        <f t="shared" si="63"/>
        <v>22483106.639999986</v>
      </c>
      <c r="AL152" s="138">
        <f t="shared" si="64"/>
        <v>22464244.969999984</v>
      </c>
      <c r="AM152" s="138">
        <f t="shared" si="65"/>
        <v>22445383.299999982</v>
      </c>
      <c r="AN152" s="138">
        <f t="shared" si="66"/>
        <v>22426521.62999998</v>
      </c>
      <c r="AO152" s="138">
        <f t="shared" si="67"/>
        <v>22407659.959999979</v>
      </c>
      <c r="AP152" s="138">
        <f t="shared" si="68"/>
        <v>22388798.289999977</v>
      </c>
      <c r="AQ152" s="138">
        <f t="shared" si="69"/>
        <v>22369936.619999975</v>
      </c>
      <c r="AR152" s="138">
        <f t="shared" si="70"/>
        <v>22351074.949999973</v>
      </c>
      <c r="AS152" s="138">
        <f t="shared" si="71"/>
        <v>22332213.279999971</v>
      </c>
      <c r="AT152" s="138">
        <f t="shared" si="72"/>
        <v>336680.75</v>
      </c>
      <c r="AU152" s="138">
        <f t="shared" si="73"/>
        <v>337300.86</v>
      </c>
      <c r="AV152" s="144">
        <f t="shared" si="55"/>
        <v>18861.669999999998</v>
      </c>
      <c r="AW152" s="145">
        <f t="shared" si="74"/>
        <v>28108.41</v>
      </c>
      <c r="AX152" s="146">
        <f t="shared" si="56"/>
        <v>18861.669999999998</v>
      </c>
      <c r="AY152" s="138"/>
      <c r="AZ152" s="138"/>
      <c r="BA152" s="147"/>
      <c r="BB152" s="148"/>
    </row>
    <row r="153" spans="1:54" ht="36" x14ac:dyDescent="0.25">
      <c r="A153" s="132"/>
      <c r="B153" s="132">
        <v>14</v>
      </c>
      <c r="C153" s="132" t="s">
        <v>284</v>
      </c>
      <c r="D153" s="132" t="s">
        <v>295</v>
      </c>
      <c r="E153" s="132" t="s">
        <v>301</v>
      </c>
      <c r="F153" s="132">
        <v>5</v>
      </c>
      <c r="G153" s="134">
        <v>48</v>
      </c>
      <c r="H153" s="134" t="s">
        <v>297</v>
      </c>
      <c r="I153" s="149">
        <v>1</v>
      </c>
      <c r="J153" s="150">
        <v>22634000</v>
      </c>
      <c r="K153" s="151"/>
      <c r="L153" s="146">
        <v>22558553.319999993</v>
      </c>
      <c r="M153" s="146">
        <f t="shared" si="75"/>
        <v>22558553.319999993</v>
      </c>
      <c r="N153" s="146">
        <v>1</v>
      </c>
      <c r="O153" s="146">
        <v>45.9</v>
      </c>
      <c r="P153" s="149"/>
      <c r="Q153" s="149"/>
      <c r="R153" s="149"/>
      <c r="S153" s="149"/>
      <c r="T153" s="149"/>
      <c r="U153" s="139" t="s">
        <v>306</v>
      </c>
      <c r="V153" s="140" t="s">
        <v>56</v>
      </c>
      <c r="W153" s="132"/>
      <c r="X153" s="141"/>
      <c r="Y153" s="141"/>
      <c r="Z153" s="141">
        <v>19.3</v>
      </c>
      <c r="AA153" s="141" t="s">
        <v>299</v>
      </c>
      <c r="AB153" s="141">
        <f t="shared" si="42"/>
        <v>0.7</v>
      </c>
      <c r="AC153" s="142">
        <f t="shared" si="43"/>
        <v>13.51</v>
      </c>
      <c r="AD153" s="138">
        <f t="shared" si="44"/>
        <v>620.11</v>
      </c>
      <c r="AE153" s="138">
        <f t="shared" si="57"/>
        <v>206.7</v>
      </c>
      <c r="AF153" s="143">
        <f t="shared" si="58"/>
        <v>18861.669999999998</v>
      </c>
      <c r="AG153" s="138">
        <f t="shared" si="59"/>
        <v>22558553.319999993</v>
      </c>
      <c r="AH153" s="138">
        <f t="shared" si="60"/>
        <v>22539691.649999991</v>
      </c>
      <c r="AI153" s="138">
        <f t="shared" si="61"/>
        <v>22520829.979999989</v>
      </c>
      <c r="AJ153" s="138">
        <f t="shared" si="62"/>
        <v>22501968.309999987</v>
      </c>
      <c r="AK153" s="138">
        <f t="shared" si="63"/>
        <v>22483106.639999986</v>
      </c>
      <c r="AL153" s="138">
        <f t="shared" si="64"/>
        <v>22464244.969999984</v>
      </c>
      <c r="AM153" s="138">
        <f t="shared" si="65"/>
        <v>22445383.299999982</v>
      </c>
      <c r="AN153" s="138">
        <f t="shared" si="66"/>
        <v>22426521.62999998</v>
      </c>
      <c r="AO153" s="138">
        <f t="shared" si="67"/>
        <v>22407659.959999979</v>
      </c>
      <c r="AP153" s="138">
        <f t="shared" si="68"/>
        <v>22388798.289999977</v>
      </c>
      <c r="AQ153" s="138">
        <f t="shared" si="69"/>
        <v>22369936.619999975</v>
      </c>
      <c r="AR153" s="138">
        <f t="shared" si="70"/>
        <v>22351074.949999973</v>
      </c>
      <c r="AS153" s="138">
        <f t="shared" si="71"/>
        <v>22332213.279999971</v>
      </c>
      <c r="AT153" s="138">
        <f t="shared" si="72"/>
        <v>336680.75</v>
      </c>
      <c r="AU153" s="138">
        <f t="shared" si="73"/>
        <v>337300.86</v>
      </c>
      <c r="AV153" s="144">
        <f t="shared" si="55"/>
        <v>18861.669999999998</v>
      </c>
      <c r="AW153" s="145">
        <f t="shared" si="74"/>
        <v>28108.41</v>
      </c>
      <c r="AX153" s="146">
        <f t="shared" si="56"/>
        <v>18861.669999999998</v>
      </c>
      <c r="AY153" s="138"/>
      <c r="AZ153" s="138"/>
      <c r="BA153" s="147"/>
      <c r="BB153" s="148"/>
    </row>
    <row r="154" spans="1:54" ht="36" x14ac:dyDescent="0.25">
      <c r="A154" s="132"/>
      <c r="B154" s="132">
        <v>15</v>
      </c>
      <c r="C154" s="132" t="s">
        <v>284</v>
      </c>
      <c r="D154" s="132" t="s">
        <v>295</v>
      </c>
      <c r="E154" s="132" t="s">
        <v>301</v>
      </c>
      <c r="F154" s="132">
        <v>5</v>
      </c>
      <c r="G154" s="152">
        <v>53</v>
      </c>
      <c r="H154" s="152" t="s">
        <v>297</v>
      </c>
      <c r="I154" s="135">
        <v>1</v>
      </c>
      <c r="J154" s="136">
        <v>22733000</v>
      </c>
      <c r="K154" s="137"/>
      <c r="L154" s="138">
        <v>22657223.319999993</v>
      </c>
      <c r="M154" s="138">
        <f t="shared" si="75"/>
        <v>22657223.319999993</v>
      </c>
      <c r="N154" s="138">
        <v>1</v>
      </c>
      <c r="O154" s="138">
        <v>46.1</v>
      </c>
      <c r="P154" s="135"/>
      <c r="Q154" s="135"/>
      <c r="R154" s="135"/>
      <c r="S154" s="135"/>
      <c r="T154" s="135"/>
      <c r="U154" s="153" t="s">
        <v>114</v>
      </c>
      <c r="V154" s="140" t="s">
        <v>56</v>
      </c>
      <c r="W154" s="132"/>
      <c r="X154" s="141"/>
      <c r="Y154" s="141"/>
      <c r="Z154" s="141">
        <v>19.3</v>
      </c>
      <c r="AA154" s="141" t="s">
        <v>299</v>
      </c>
      <c r="AB154" s="141">
        <f t="shared" si="42"/>
        <v>0.7</v>
      </c>
      <c r="AC154" s="142">
        <f t="shared" si="43"/>
        <v>13.51</v>
      </c>
      <c r="AD154" s="138">
        <f t="shared" si="44"/>
        <v>622.80999999999995</v>
      </c>
      <c r="AE154" s="138">
        <f t="shared" si="57"/>
        <v>207.6</v>
      </c>
      <c r="AF154" s="143">
        <f t="shared" si="58"/>
        <v>18944.169999999998</v>
      </c>
      <c r="AG154" s="138">
        <f t="shared" si="59"/>
        <v>22657223.319999993</v>
      </c>
      <c r="AH154" s="138">
        <f t="shared" si="60"/>
        <v>22638279.149999991</v>
      </c>
      <c r="AI154" s="138">
        <f t="shared" si="61"/>
        <v>22619334.979999989</v>
      </c>
      <c r="AJ154" s="138">
        <f t="shared" si="62"/>
        <v>22600390.809999987</v>
      </c>
      <c r="AK154" s="138">
        <f t="shared" si="63"/>
        <v>22581446.639999986</v>
      </c>
      <c r="AL154" s="138">
        <f t="shared" si="64"/>
        <v>22562502.469999984</v>
      </c>
      <c r="AM154" s="138">
        <f t="shared" si="65"/>
        <v>22543558.299999982</v>
      </c>
      <c r="AN154" s="138">
        <f t="shared" si="66"/>
        <v>22524614.12999998</v>
      </c>
      <c r="AO154" s="138">
        <f t="shared" si="67"/>
        <v>22505669.959999979</v>
      </c>
      <c r="AP154" s="138">
        <f t="shared" si="68"/>
        <v>22486725.789999977</v>
      </c>
      <c r="AQ154" s="138">
        <f t="shared" si="69"/>
        <v>22467781.619999975</v>
      </c>
      <c r="AR154" s="138">
        <f t="shared" si="70"/>
        <v>22448837.449999973</v>
      </c>
      <c r="AS154" s="138">
        <f t="shared" si="71"/>
        <v>22429893.279999971</v>
      </c>
      <c r="AT154" s="138">
        <f t="shared" si="72"/>
        <v>338153.37</v>
      </c>
      <c r="AU154" s="138">
        <f t="shared" si="73"/>
        <v>338776.18</v>
      </c>
      <c r="AV154" s="144">
        <f t="shared" si="55"/>
        <v>18944.169999999998</v>
      </c>
      <c r="AW154" s="145">
        <f t="shared" si="74"/>
        <v>28231.35</v>
      </c>
      <c r="AX154" s="146">
        <f t="shared" si="56"/>
        <v>18944.169999999998</v>
      </c>
      <c r="AY154" s="138"/>
      <c r="AZ154" s="138"/>
      <c r="BA154" s="147"/>
      <c r="BB154" s="148"/>
    </row>
    <row r="155" spans="1:54" ht="36" x14ac:dyDescent="0.25">
      <c r="A155" s="132"/>
      <c r="B155" s="132">
        <v>16</v>
      </c>
      <c r="C155" s="132" t="s">
        <v>284</v>
      </c>
      <c r="D155" s="132" t="s">
        <v>295</v>
      </c>
      <c r="E155" s="132" t="s">
        <v>301</v>
      </c>
      <c r="F155" s="132">
        <v>5</v>
      </c>
      <c r="G155" s="134">
        <v>57</v>
      </c>
      <c r="H155" s="134" t="s">
        <v>297</v>
      </c>
      <c r="I155" s="135">
        <v>1</v>
      </c>
      <c r="J155" s="136">
        <v>22733000</v>
      </c>
      <c r="K155" s="137"/>
      <c r="L155" s="138">
        <v>22657223.319999993</v>
      </c>
      <c r="M155" s="138">
        <f t="shared" si="75"/>
        <v>22657223.319999993</v>
      </c>
      <c r="N155" s="138">
        <v>1</v>
      </c>
      <c r="O155" s="138">
        <v>46.1</v>
      </c>
      <c r="P155" s="135"/>
      <c r="Q155" s="135"/>
      <c r="R155" s="135"/>
      <c r="S155" s="135"/>
      <c r="T155" s="135"/>
      <c r="U155" s="139" t="s">
        <v>307</v>
      </c>
      <c r="V155" s="140" t="s">
        <v>56</v>
      </c>
      <c r="W155" s="132"/>
      <c r="X155" s="141"/>
      <c r="Y155" s="141"/>
      <c r="Z155" s="141">
        <v>19.3</v>
      </c>
      <c r="AA155" s="141" t="s">
        <v>299</v>
      </c>
      <c r="AB155" s="141">
        <f t="shared" si="42"/>
        <v>0.7</v>
      </c>
      <c r="AC155" s="142">
        <f t="shared" si="43"/>
        <v>13.51</v>
      </c>
      <c r="AD155" s="138">
        <f t="shared" si="44"/>
        <v>622.80999999999995</v>
      </c>
      <c r="AE155" s="138">
        <f t="shared" si="57"/>
        <v>207.6</v>
      </c>
      <c r="AF155" s="143">
        <f t="shared" si="58"/>
        <v>18944.169999999998</v>
      </c>
      <c r="AG155" s="138">
        <f t="shared" si="59"/>
        <v>22657223.319999993</v>
      </c>
      <c r="AH155" s="138">
        <f t="shared" si="60"/>
        <v>22638279.149999991</v>
      </c>
      <c r="AI155" s="138">
        <f t="shared" si="61"/>
        <v>22619334.979999989</v>
      </c>
      <c r="AJ155" s="138">
        <f t="shared" si="62"/>
        <v>22600390.809999987</v>
      </c>
      <c r="AK155" s="138">
        <f t="shared" si="63"/>
        <v>22581446.639999986</v>
      </c>
      <c r="AL155" s="138">
        <f t="shared" si="64"/>
        <v>22562502.469999984</v>
      </c>
      <c r="AM155" s="138">
        <f t="shared" si="65"/>
        <v>22543558.299999982</v>
      </c>
      <c r="AN155" s="138">
        <f t="shared" si="66"/>
        <v>22524614.12999998</v>
      </c>
      <c r="AO155" s="138">
        <f t="shared" si="67"/>
        <v>22505669.959999979</v>
      </c>
      <c r="AP155" s="138">
        <f t="shared" si="68"/>
        <v>22486725.789999977</v>
      </c>
      <c r="AQ155" s="138">
        <f t="shared" si="69"/>
        <v>22467781.619999975</v>
      </c>
      <c r="AR155" s="138">
        <f t="shared" si="70"/>
        <v>22448837.449999973</v>
      </c>
      <c r="AS155" s="138">
        <f t="shared" si="71"/>
        <v>22429893.279999971</v>
      </c>
      <c r="AT155" s="138">
        <f t="shared" si="72"/>
        <v>338153.37</v>
      </c>
      <c r="AU155" s="138">
        <f t="shared" si="73"/>
        <v>338776.18</v>
      </c>
      <c r="AV155" s="144">
        <f t="shared" si="55"/>
        <v>18944.169999999998</v>
      </c>
      <c r="AW155" s="145">
        <f t="shared" si="74"/>
        <v>28231.35</v>
      </c>
      <c r="AX155" s="146">
        <f t="shared" si="56"/>
        <v>18944.169999999998</v>
      </c>
      <c r="AY155" s="138"/>
      <c r="AZ155" s="138"/>
      <c r="BA155" s="147"/>
      <c r="BB155" s="148"/>
    </row>
    <row r="156" spans="1:54" s="166" customFormat="1" ht="36" x14ac:dyDescent="0.25">
      <c r="A156" s="154"/>
      <c r="B156" s="154">
        <v>17</v>
      </c>
      <c r="C156" s="154" t="s">
        <v>284</v>
      </c>
      <c r="D156" s="154" t="s">
        <v>295</v>
      </c>
      <c r="E156" s="132" t="s">
        <v>301</v>
      </c>
      <c r="F156" s="154">
        <v>5</v>
      </c>
      <c r="G156" s="154">
        <v>58</v>
      </c>
      <c r="H156" s="154" t="s">
        <v>297</v>
      </c>
      <c r="I156" s="155">
        <v>1</v>
      </c>
      <c r="J156" s="156">
        <v>22733000</v>
      </c>
      <c r="K156" s="157"/>
      <c r="L156" s="158">
        <v>22657223.319999993</v>
      </c>
      <c r="M156" s="158">
        <f t="shared" si="75"/>
        <v>22657223.319999993</v>
      </c>
      <c r="N156" s="158">
        <v>1</v>
      </c>
      <c r="O156" s="158">
        <v>46.1</v>
      </c>
      <c r="P156" s="155"/>
      <c r="Q156" s="155"/>
      <c r="R156" s="155"/>
      <c r="S156" s="155"/>
      <c r="T156" s="155"/>
      <c r="U156" s="159" t="s">
        <v>308</v>
      </c>
      <c r="V156" s="160" t="s">
        <v>56</v>
      </c>
      <c r="W156" s="154"/>
      <c r="X156" s="161"/>
      <c r="Y156" s="161"/>
      <c r="Z156" s="161">
        <v>19.3</v>
      </c>
      <c r="AA156" s="161" t="s">
        <v>299</v>
      </c>
      <c r="AB156" s="161">
        <f t="shared" si="42"/>
        <v>0.7</v>
      </c>
      <c r="AC156" s="162">
        <f t="shared" si="43"/>
        <v>13.51</v>
      </c>
      <c r="AD156" s="158">
        <f t="shared" si="44"/>
        <v>622.80999999999995</v>
      </c>
      <c r="AE156" s="158">
        <f t="shared" si="57"/>
        <v>207.6</v>
      </c>
      <c r="AF156" s="158">
        <f t="shared" si="58"/>
        <v>18944.169999999998</v>
      </c>
      <c r="AG156" s="158">
        <f t="shared" si="59"/>
        <v>22657223.319999993</v>
      </c>
      <c r="AH156" s="158">
        <f t="shared" si="60"/>
        <v>22638279.149999991</v>
      </c>
      <c r="AI156" s="158">
        <f t="shared" si="61"/>
        <v>22619334.979999989</v>
      </c>
      <c r="AJ156" s="158">
        <f t="shared" si="62"/>
        <v>22600390.809999987</v>
      </c>
      <c r="AK156" s="158">
        <f t="shared" si="63"/>
        <v>22581446.639999986</v>
      </c>
      <c r="AL156" s="158">
        <f t="shared" si="64"/>
        <v>22562502.469999984</v>
      </c>
      <c r="AM156" s="158">
        <f t="shared" si="65"/>
        <v>22543558.299999982</v>
      </c>
      <c r="AN156" s="158">
        <f t="shared" si="66"/>
        <v>22524614.12999998</v>
      </c>
      <c r="AO156" s="158">
        <f t="shared" si="67"/>
        <v>22505669.959999979</v>
      </c>
      <c r="AP156" s="158">
        <f t="shared" si="68"/>
        <v>22486725.789999977</v>
      </c>
      <c r="AQ156" s="158">
        <f t="shared" si="69"/>
        <v>22467781.619999975</v>
      </c>
      <c r="AR156" s="158">
        <f t="shared" si="70"/>
        <v>22448837.449999973</v>
      </c>
      <c r="AS156" s="158">
        <f t="shared" si="71"/>
        <v>22429893.279999971</v>
      </c>
      <c r="AT156" s="158">
        <f t="shared" si="72"/>
        <v>338153.37</v>
      </c>
      <c r="AU156" s="158">
        <f t="shared" si="73"/>
        <v>338776.18</v>
      </c>
      <c r="AV156" s="158">
        <f t="shared" si="55"/>
        <v>18944.169999999998</v>
      </c>
      <c r="AW156" s="163">
        <f t="shared" si="74"/>
        <v>28231.35</v>
      </c>
      <c r="AX156" s="158">
        <f t="shared" si="56"/>
        <v>18944.169999999998</v>
      </c>
      <c r="AY156" s="158"/>
      <c r="AZ156" s="158"/>
      <c r="BA156" s="164"/>
      <c r="BB156" s="165" t="s">
        <v>309</v>
      </c>
    </row>
    <row r="157" spans="1:54" ht="36" x14ac:dyDescent="0.25">
      <c r="A157" s="132"/>
      <c r="B157" s="132">
        <v>18</v>
      </c>
      <c r="C157" s="132" t="s">
        <v>284</v>
      </c>
      <c r="D157" s="132" t="s">
        <v>295</v>
      </c>
      <c r="E157" s="132" t="s">
        <v>301</v>
      </c>
      <c r="F157" s="132">
        <v>5</v>
      </c>
      <c r="G157" s="134">
        <v>62</v>
      </c>
      <c r="H157" s="134" t="s">
        <v>297</v>
      </c>
      <c r="I157" s="135">
        <v>1</v>
      </c>
      <c r="J157" s="136">
        <v>22437000</v>
      </c>
      <c r="K157" s="137"/>
      <c r="L157" s="138">
        <v>22362210</v>
      </c>
      <c r="M157" s="138">
        <f t="shared" si="75"/>
        <v>22362210</v>
      </c>
      <c r="N157" s="138">
        <v>1</v>
      </c>
      <c r="O157" s="138">
        <v>45.5</v>
      </c>
      <c r="P157" s="167"/>
      <c r="Q157" s="135"/>
      <c r="R157" s="135"/>
      <c r="S157" s="135"/>
      <c r="T157" s="135"/>
      <c r="U157" s="139" t="s">
        <v>310</v>
      </c>
      <c r="V157" s="140" t="s">
        <v>56</v>
      </c>
      <c r="W157" s="132"/>
      <c r="X157" s="141"/>
      <c r="Y157" s="141"/>
      <c r="Z157" s="141">
        <v>19.3</v>
      </c>
      <c r="AA157" s="141" t="s">
        <v>299</v>
      </c>
      <c r="AB157" s="141">
        <f t="shared" si="42"/>
        <v>0.7</v>
      </c>
      <c r="AC157" s="142">
        <f t="shared" si="43"/>
        <v>13.51</v>
      </c>
      <c r="AD157" s="138">
        <f t="shared" si="44"/>
        <v>614.71</v>
      </c>
      <c r="AE157" s="138">
        <f t="shared" si="57"/>
        <v>204.9</v>
      </c>
      <c r="AF157" s="143">
        <f t="shared" si="58"/>
        <v>18697.5</v>
      </c>
      <c r="AG157" s="138">
        <f t="shared" si="59"/>
        <v>22362210</v>
      </c>
      <c r="AH157" s="138">
        <f t="shared" si="60"/>
        <v>22343512.5</v>
      </c>
      <c r="AI157" s="138">
        <f t="shared" si="61"/>
        <v>22324815</v>
      </c>
      <c r="AJ157" s="138">
        <f t="shared" si="62"/>
        <v>22306117.5</v>
      </c>
      <c r="AK157" s="138">
        <f t="shared" si="63"/>
        <v>22287420</v>
      </c>
      <c r="AL157" s="138">
        <f t="shared" si="64"/>
        <v>22268722.5</v>
      </c>
      <c r="AM157" s="138">
        <f t="shared" si="65"/>
        <v>22250025</v>
      </c>
      <c r="AN157" s="138">
        <f t="shared" si="66"/>
        <v>22231327.5</v>
      </c>
      <c r="AO157" s="138">
        <f t="shared" si="67"/>
        <v>22212630</v>
      </c>
      <c r="AP157" s="138">
        <f t="shared" si="68"/>
        <v>22193932.5</v>
      </c>
      <c r="AQ157" s="138">
        <f t="shared" si="69"/>
        <v>22175235</v>
      </c>
      <c r="AR157" s="138">
        <f t="shared" si="70"/>
        <v>22156537.5</v>
      </c>
      <c r="AS157" s="138">
        <f t="shared" si="71"/>
        <v>22137840</v>
      </c>
      <c r="AT157" s="138">
        <f t="shared" si="72"/>
        <v>333750.38</v>
      </c>
      <c r="AU157" s="138">
        <f t="shared" si="73"/>
        <v>334365.09000000003</v>
      </c>
      <c r="AV157" s="144">
        <f t="shared" si="55"/>
        <v>18697.5</v>
      </c>
      <c r="AW157" s="145">
        <f t="shared" si="74"/>
        <v>27863.759999999998</v>
      </c>
      <c r="AX157" s="146">
        <f t="shared" si="56"/>
        <v>18697.5</v>
      </c>
      <c r="AY157" s="138"/>
      <c r="AZ157" s="138"/>
      <c r="BA157" s="147"/>
      <c r="BB157" s="148"/>
    </row>
    <row r="158" spans="1:54" s="180" customFormat="1" ht="36" x14ac:dyDescent="0.25">
      <c r="A158" s="168"/>
      <c r="B158" s="168">
        <v>19</v>
      </c>
      <c r="C158" s="168" t="s">
        <v>284</v>
      </c>
      <c r="D158" s="168" t="s">
        <v>295</v>
      </c>
      <c r="E158" s="132" t="s">
        <v>301</v>
      </c>
      <c r="F158" s="168">
        <v>5</v>
      </c>
      <c r="G158" s="168">
        <v>67</v>
      </c>
      <c r="H158" s="168" t="s">
        <v>297</v>
      </c>
      <c r="I158" s="169">
        <v>1</v>
      </c>
      <c r="J158" s="170">
        <v>22437000</v>
      </c>
      <c r="K158" s="171"/>
      <c r="L158" s="172">
        <v>22362210</v>
      </c>
      <c r="M158" s="172">
        <f t="shared" si="75"/>
        <v>22362210</v>
      </c>
      <c r="N158" s="172">
        <v>1</v>
      </c>
      <c r="O158" s="172">
        <v>45.5</v>
      </c>
      <c r="P158" s="169"/>
      <c r="Q158" s="169"/>
      <c r="R158" s="169"/>
      <c r="S158" s="169"/>
      <c r="T158" s="169"/>
      <c r="U158" s="173" t="s">
        <v>245</v>
      </c>
      <c r="V158" s="174" t="s">
        <v>56</v>
      </c>
      <c r="W158" s="168"/>
      <c r="X158" s="175"/>
      <c r="Y158" s="175"/>
      <c r="Z158" s="175">
        <v>19.3</v>
      </c>
      <c r="AA158" s="175" t="s">
        <v>299</v>
      </c>
      <c r="AB158" s="175">
        <f t="shared" si="42"/>
        <v>0.7</v>
      </c>
      <c r="AC158" s="176">
        <f t="shared" si="43"/>
        <v>13.51</v>
      </c>
      <c r="AD158" s="172">
        <f t="shared" si="44"/>
        <v>614.71</v>
      </c>
      <c r="AE158" s="172">
        <f t="shared" si="57"/>
        <v>204.9</v>
      </c>
      <c r="AF158" s="172">
        <f t="shared" si="58"/>
        <v>18697.5</v>
      </c>
      <c r="AG158" s="172">
        <f t="shared" si="59"/>
        <v>22362210</v>
      </c>
      <c r="AH158" s="172">
        <f t="shared" si="60"/>
        <v>22343512.5</v>
      </c>
      <c r="AI158" s="172">
        <f t="shared" si="61"/>
        <v>22324815</v>
      </c>
      <c r="AJ158" s="172">
        <f t="shared" si="62"/>
        <v>22306117.5</v>
      </c>
      <c r="AK158" s="172">
        <f t="shared" si="63"/>
        <v>22287420</v>
      </c>
      <c r="AL158" s="172">
        <f t="shared" si="64"/>
        <v>22268722.5</v>
      </c>
      <c r="AM158" s="172">
        <f t="shared" si="65"/>
        <v>22250025</v>
      </c>
      <c r="AN158" s="172">
        <f t="shared" si="66"/>
        <v>22231327.5</v>
      </c>
      <c r="AO158" s="172">
        <f t="shared" si="67"/>
        <v>22212630</v>
      </c>
      <c r="AP158" s="172">
        <f t="shared" si="68"/>
        <v>22193932.5</v>
      </c>
      <c r="AQ158" s="172">
        <f t="shared" si="69"/>
        <v>22175235</v>
      </c>
      <c r="AR158" s="172">
        <f t="shared" si="70"/>
        <v>22156537.5</v>
      </c>
      <c r="AS158" s="172">
        <f t="shared" si="71"/>
        <v>22137840</v>
      </c>
      <c r="AT158" s="172">
        <f t="shared" si="72"/>
        <v>333750.38</v>
      </c>
      <c r="AU158" s="172">
        <f t="shared" si="73"/>
        <v>334365.09000000003</v>
      </c>
      <c r="AV158" s="172">
        <f t="shared" si="55"/>
        <v>18697.5</v>
      </c>
      <c r="AW158" s="177">
        <f t="shared" si="74"/>
        <v>27863.759999999998</v>
      </c>
      <c r="AX158" s="172">
        <f t="shared" si="56"/>
        <v>18697.5</v>
      </c>
      <c r="AY158" s="172"/>
      <c r="AZ158" s="172"/>
      <c r="BA158" s="178"/>
      <c r="BB158" s="179" t="s">
        <v>311</v>
      </c>
    </row>
    <row r="159" spans="1:54" ht="36" x14ac:dyDescent="0.25">
      <c r="A159" s="132"/>
      <c r="B159" s="132">
        <v>20</v>
      </c>
      <c r="C159" s="132" t="s">
        <v>284</v>
      </c>
      <c r="D159" s="132" t="s">
        <v>295</v>
      </c>
      <c r="E159" s="132" t="s">
        <v>301</v>
      </c>
      <c r="F159" s="132">
        <v>5</v>
      </c>
      <c r="G159" s="134">
        <v>97</v>
      </c>
      <c r="H159" s="134" t="s">
        <v>297</v>
      </c>
      <c r="I159" s="135">
        <v>1</v>
      </c>
      <c r="J159" s="136">
        <v>20563000</v>
      </c>
      <c r="K159" s="137"/>
      <c r="L159" s="138">
        <v>20494456.680000007</v>
      </c>
      <c r="M159" s="138">
        <f t="shared" si="75"/>
        <v>20494456.680000007</v>
      </c>
      <c r="N159" s="138">
        <v>1</v>
      </c>
      <c r="O159" s="138">
        <v>41.7</v>
      </c>
      <c r="P159" s="135"/>
      <c r="Q159" s="135"/>
      <c r="R159" s="135"/>
      <c r="S159" s="135"/>
      <c r="T159" s="135"/>
      <c r="U159" s="139" t="s">
        <v>312</v>
      </c>
      <c r="V159" s="140" t="s">
        <v>56</v>
      </c>
      <c r="W159" s="132"/>
      <c r="X159" s="141"/>
      <c r="Y159" s="141"/>
      <c r="Z159" s="141">
        <v>19.3</v>
      </c>
      <c r="AA159" s="141" t="s">
        <v>299</v>
      </c>
      <c r="AB159" s="141">
        <f t="shared" si="42"/>
        <v>0.7</v>
      </c>
      <c r="AC159" s="142">
        <f t="shared" si="43"/>
        <v>13.51</v>
      </c>
      <c r="AD159" s="138">
        <f t="shared" si="44"/>
        <v>563.37</v>
      </c>
      <c r="AE159" s="138">
        <f t="shared" si="57"/>
        <v>187.79</v>
      </c>
      <c r="AF159" s="143">
        <f t="shared" si="58"/>
        <v>17135.830000000002</v>
      </c>
      <c r="AG159" s="138">
        <f t="shared" si="59"/>
        <v>20494456.680000007</v>
      </c>
      <c r="AH159" s="138">
        <f t="shared" si="60"/>
        <v>20477320.850000009</v>
      </c>
      <c r="AI159" s="138">
        <f t="shared" si="61"/>
        <v>20460185.020000011</v>
      </c>
      <c r="AJ159" s="138">
        <f t="shared" si="62"/>
        <v>20443049.190000013</v>
      </c>
      <c r="AK159" s="138">
        <f t="shared" si="63"/>
        <v>20425913.360000014</v>
      </c>
      <c r="AL159" s="138">
        <f t="shared" si="64"/>
        <v>20408777.530000016</v>
      </c>
      <c r="AM159" s="138">
        <f t="shared" si="65"/>
        <v>20391641.700000018</v>
      </c>
      <c r="AN159" s="138">
        <f t="shared" si="66"/>
        <v>20374505.87000002</v>
      </c>
      <c r="AO159" s="138">
        <f t="shared" si="67"/>
        <v>20357370.040000021</v>
      </c>
      <c r="AP159" s="138">
        <f t="shared" si="68"/>
        <v>20340234.210000023</v>
      </c>
      <c r="AQ159" s="138">
        <f t="shared" si="69"/>
        <v>20323098.380000025</v>
      </c>
      <c r="AR159" s="138">
        <f t="shared" si="70"/>
        <v>20305962.550000027</v>
      </c>
      <c r="AS159" s="138">
        <f t="shared" si="71"/>
        <v>20288826.720000029</v>
      </c>
      <c r="AT159" s="138">
        <f t="shared" si="72"/>
        <v>305874.63</v>
      </c>
      <c r="AU159" s="138">
        <f t="shared" si="73"/>
        <v>306438</v>
      </c>
      <c r="AV159" s="144">
        <f t="shared" si="55"/>
        <v>17135.830000000002</v>
      </c>
      <c r="AW159" s="145">
        <f t="shared" si="74"/>
        <v>25536.5</v>
      </c>
      <c r="AX159" s="146">
        <f t="shared" si="56"/>
        <v>17135.830000000002</v>
      </c>
      <c r="AY159" s="138"/>
      <c r="AZ159" s="138"/>
      <c r="BA159" s="147"/>
      <c r="BB159" s="148"/>
    </row>
    <row r="160" spans="1:54" ht="36" x14ac:dyDescent="0.25">
      <c r="A160" s="132"/>
      <c r="B160" s="132">
        <v>21</v>
      </c>
      <c r="C160" s="132" t="s">
        <v>284</v>
      </c>
      <c r="D160" s="132" t="s">
        <v>295</v>
      </c>
      <c r="E160" s="132" t="s">
        <v>301</v>
      </c>
      <c r="F160" s="132">
        <v>5</v>
      </c>
      <c r="G160" s="134">
        <v>168</v>
      </c>
      <c r="H160" s="134" t="s">
        <v>297</v>
      </c>
      <c r="I160" s="135">
        <v>1</v>
      </c>
      <c r="J160" s="136">
        <v>19432000</v>
      </c>
      <c r="K160" s="137"/>
      <c r="L160" s="138">
        <v>19367226.680000007</v>
      </c>
      <c r="M160" s="138">
        <f t="shared" si="75"/>
        <v>19367226.680000007</v>
      </c>
      <c r="N160" s="138">
        <v>1</v>
      </c>
      <c r="O160" s="138">
        <v>42.7</v>
      </c>
      <c r="P160" s="135"/>
      <c r="Q160" s="135"/>
      <c r="R160" s="135"/>
      <c r="S160" s="135"/>
      <c r="T160" s="135"/>
      <c r="U160" s="139" t="s">
        <v>313</v>
      </c>
      <c r="V160" s="140" t="s">
        <v>56</v>
      </c>
      <c r="W160" s="132"/>
      <c r="X160" s="141"/>
      <c r="Y160" s="141"/>
      <c r="Z160" s="141">
        <v>19.3</v>
      </c>
      <c r="AA160" s="141" t="s">
        <v>299</v>
      </c>
      <c r="AB160" s="141">
        <f t="shared" si="42"/>
        <v>0.7</v>
      </c>
      <c r="AC160" s="142">
        <f t="shared" si="43"/>
        <v>13.51</v>
      </c>
      <c r="AD160" s="138">
        <f t="shared" si="44"/>
        <v>576.88</v>
      </c>
      <c r="AE160" s="138">
        <f t="shared" si="57"/>
        <v>192.29</v>
      </c>
      <c r="AF160" s="143">
        <f t="shared" si="58"/>
        <v>16193.33</v>
      </c>
      <c r="AG160" s="138">
        <f t="shared" si="59"/>
        <v>19367226.680000007</v>
      </c>
      <c r="AH160" s="138">
        <f t="shared" si="60"/>
        <v>19351033.350000009</v>
      </c>
      <c r="AI160" s="138">
        <f t="shared" si="61"/>
        <v>19334840.020000011</v>
      </c>
      <c r="AJ160" s="138">
        <f t="shared" si="62"/>
        <v>19318646.690000013</v>
      </c>
      <c r="AK160" s="138">
        <f t="shared" si="63"/>
        <v>19302453.360000014</v>
      </c>
      <c r="AL160" s="138">
        <f t="shared" si="64"/>
        <v>19286260.030000016</v>
      </c>
      <c r="AM160" s="138">
        <f t="shared" si="65"/>
        <v>19270066.700000018</v>
      </c>
      <c r="AN160" s="138">
        <f t="shared" si="66"/>
        <v>19253873.37000002</v>
      </c>
      <c r="AO160" s="138">
        <f t="shared" si="67"/>
        <v>19237680.040000021</v>
      </c>
      <c r="AP160" s="138">
        <f t="shared" si="68"/>
        <v>19221486.710000023</v>
      </c>
      <c r="AQ160" s="138">
        <f t="shared" si="69"/>
        <v>19205293.380000025</v>
      </c>
      <c r="AR160" s="138">
        <f t="shared" si="70"/>
        <v>19189100.050000027</v>
      </c>
      <c r="AS160" s="138">
        <f t="shared" si="71"/>
        <v>19172906.720000029</v>
      </c>
      <c r="AT160" s="138">
        <f t="shared" si="72"/>
        <v>289051</v>
      </c>
      <c r="AU160" s="138">
        <f t="shared" si="73"/>
        <v>289627.88</v>
      </c>
      <c r="AV160" s="144">
        <f t="shared" si="55"/>
        <v>16193.33</v>
      </c>
      <c r="AW160" s="145">
        <f t="shared" si="74"/>
        <v>24135.66</v>
      </c>
      <c r="AX160" s="146">
        <f t="shared" si="56"/>
        <v>16193.33</v>
      </c>
      <c r="AY160" s="138"/>
      <c r="AZ160" s="138"/>
      <c r="BA160" s="147"/>
      <c r="BB160" s="148"/>
    </row>
    <row r="161" spans="1:54" ht="36" x14ac:dyDescent="0.25">
      <c r="A161" s="132"/>
      <c r="B161" s="132">
        <v>22</v>
      </c>
      <c r="C161" s="132" t="s">
        <v>284</v>
      </c>
      <c r="D161" s="132" t="s">
        <v>295</v>
      </c>
      <c r="E161" s="132" t="s">
        <v>301</v>
      </c>
      <c r="F161" s="132">
        <v>5</v>
      </c>
      <c r="G161" s="134">
        <v>169</v>
      </c>
      <c r="H161" s="134" t="s">
        <v>297</v>
      </c>
      <c r="I161" s="135">
        <v>1</v>
      </c>
      <c r="J161" s="136">
        <v>19022000</v>
      </c>
      <c r="K161" s="137"/>
      <c r="L161" s="138">
        <v>18958593.319999993</v>
      </c>
      <c r="M161" s="138">
        <f t="shared" si="75"/>
        <v>18958593.319999993</v>
      </c>
      <c r="N161" s="138">
        <v>1</v>
      </c>
      <c r="O161" s="138">
        <v>41.8</v>
      </c>
      <c r="P161" s="135"/>
      <c r="Q161" s="135"/>
      <c r="R161" s="135"/>
      <c r="S161" s="135"/>
      <c r="T161" s="135"/>
      <c r="U161" s="139" t="s">
        <v>314</v>
      </c>
      <c r="V161" s="140" t="s">
        <v>56</v>
      </c>
      <c r="W161" s="132"/>
      <c r="X161" s="141"/>
      <c r="Y161" s="141"/>
      <c r="Z161" s="141">
        <v>19.3</v>
      </c>
      <c r="AA161" s="141" t="s">
        <v>299</v>
      </c>
      <c r="AB161" s="141">
        <f t="shared" si="42"/>
        <v>0.7</v>
      </c>
      <c r="AC161" s="142">
        <f t="shared" si="43"/>
        <v>13.51</v>
      </c>
      <c r="AD161" s="138">
        <f t="shared" si="44"/>
        <v>564.72</v>
      </c>
      <c r="AE161" s="138">
        <f t="shared" si="57"/>
        <v>188.24</v>
      </c>
      <c r="AF161" s="143">
        <f t="shared" si="58"/>
        <v>15851.67</v>
      </c>
      <c r="AG161" s="138">
        <f t="shared" si="59"/>
        <v>18958593.319999993</v>
      </c>
      <c r="AH161" s="138">
        <f t="shared" si="60"/>
        <v>18942741.649999991</v>
      </c>
      <c r="AI161" s="138">
        <f t="shared" si="61"/>
        <v>18926889.979999989</v>
      </c>
      <c r="AJ161" s="138">
        <f t="shared" si="62"/>
        <v>18911038.309999987</v>
      </c>
      <c r="AK161" s="138">
        <f t="shared" si="63"/>
        <v>18895186.639999986</v>
      </c>
      <c r="AL161" s="138">
        <f t="shared" si="64"/>
        <v>18879334.969999984</v>
      </c>
      <c r="AM161" s="138">
        <f t="shared" si="65"/>
        <v>18863483.299999982</v>
      </c>
      <c r="AN161" s="138">
        <f t="shared" si="66"/>
        <v>18847631.62999998</v>
      </c>
      <c r="AO161" s="138">
        <f t="shared" si="67"/>
        <v>18831779.959999979</v>
      </c>
      <c r="AP161" s="138">
        <f t="shared" si="68"/>
        <v>18815928.289999977</v>
      </c>
      <c r="AQ161" s="138">
        <f t="shared" si="69"/>
        <v>18800076.619999975</v>
      </c>
      <c r="AR161" s="138">
        <f t="shared" si="70"/>
        <v>18784224.949999973</v>
      </c>
      <c r="AS161" s="138">
        <f t="shared" si="71"/>
        <v>18768373.279999971</v>
      </c>
      <c r="AT161" s="138">
        <f t="shared" si="72"/>
        <v>282952.25</v>
      </c>
      <c r="AU161" s="138">
        <f t="shared" si="73"/>
        <v>283516.96999999997</v>
      </c>
      <c r="AV161" s="144">
        <f t="shared" si="55"/>
        <v>15851.67</v>
      </c>
      <c r="AW161" s="145">
        <f t="shared" si="74"/>
        <v>23626.41</v>
      </c>
      <c r="AX161" s="146">
        <f t="shared" si="56"/>
        <v>15851.67</v>
      </c>
      <c r="AY161" s="138"/>
      <c r="AZ161" s="138"/>
      <c r="BA161" s="147"/>
      <c r="BB161" s="148"/>
    </row>
    <row r="162" spans="1:54" ht="36" x14ac:dyDescent="0.25">
      <c r="A162" s="132"/>
      <c r="B162" s="132">
        <v>23</v>
      </c>
      <c r="C162" s="132" t="s">
        <v>284</v>
      </c>
      <c r="D162" s="132" t="s">
        <v>295</v>
      </c>
      <c r="E162" s="132" t="s">
        <v>301</v>
      </c>
      <c r="F162" s="132">
        <v>5</v>
      </c>
      <c r="G162" s="134">
        <v>174</v>
      </c>
      <c r="H162" s="134" t="s">
        <v>297</v>
      </c>
      <c r="I162" s="135">
        <v>1</v>
      </c>
      <c r="J162" s="136">
        <v>20662000</v>
      </c>
      <c r="K162" s="137"/>
      <c r="L162" s="138">
        <v>20593126.680000007</v>
      </c>
      <c r="M162" s="138">
        <f t="shared" si="75"/>
        <v>20593126.680000007</v>
      </c>
      <c r="N162" s="138">
        <v>1</v>
      </c>
      <c r="O162" s="138">
        <v>41.9</v>
      </c>
      <c r="P162" s="135"/>
      <c r="Q162" s="135"/>
      <c r="R162" s="135"/>
      <c r="S162" s="135"/>
      <c r="T162" s="135"/>
      <c r="U162" s="139" t="s">
        <v>315</v>
      </c>
      <c r="V162" s="140" t="s">
        <v>56</v>
      </c>
      <c r="W162" s="132"/>
      <c r="X162" s="141"/>
      <c r="Y162" s="141"/>
      <c r="Z162" s="141">
        <v>19.3</v>
      </c>
      <c r="AA162" s="141" t="s">
        <v>299</v>
      </c>
      <c r="AB162" s="141">
        <f t="shared" si="42"/>
        <v>0.7</v>
      </c>
      <c r="AC162" s="142">
        <f t="shared" si="43"/>
        <v>13.51</v>
      </c>
      <c r="AD162" s="138">
        <f t="shared" si="44"/>
        <v>566.07000000000005</v>
      </c>
      <c r="AE162" s="138">
        <f t="shared" si="57"/>
        <v>188.69</v>
      </c>
      <c r="AF162" s="143">
        <f t="shared" si="58"/>
        <v>17218.330000000002</v>
      </c>
      <c r="AG162" s="138">
        <f t="shared" si="59"/>
        <v>20593126.680000007</v>
      </c>
      <c r="AH162" s="138">
        <f t="shared" si="60"/>
        <v>20575908.350000009</v>
      </c>
      <c r="AI162" s="138">
        <f t="shared" si="61"/>
        <v>20558690.020000011</v>
      </c>
      <c r="AJ162" s="138">
        <f t="shared" si="62"/>
        <v>20541471.690000013</v>
      </c>
      <c r="AK162" s="138">
        <f t="shared" si="63"/>
        <v>20524253.360000014</v>
      </c>
      <c r="AL162" s="138">
        <f t="shared" si="64"/>
        <v>20507035.030000016</v>
      </c>
      <c r="AM162" s="138">
        <f t="shared" si="65"/>
        <v>20489816.700000018</v>
      </c>
      <c r="AN162" s="138">
        <f t="shared" si="66"/>
        <v>20472598.37000002</v>
      </c>
      <c r="AO162" s="138">
        <f t="shared" si="67"/>
        <v>20455380.040000021</v>
      </c>
      <c r="AP162" s="138">
        <f t="shared" si="68"/>
        <v>20438161.710000023</v>
      </c>
      <c r="AQ162" s="138">
        <f t="shared" si="69"/>
        <v>20420943.380000025</v>
      </c>
      <c r="AR162" s="138">
        <f t="shared" si="70"/>
        <v>20403725.050000027</v>
      </c>
      <c r="AS162" s="138">
        <f t="shared" si="71"/>
        <v>20386506.720000029</v>
      </c>
      <c r="AT162" s="138">
        <f t="shared" si="72"/>
        <v>307347.25</v>
      </c>
      <c r="AU162" s="138">
        <f t="shared" si="73"/>
        <v>307913.32</v>
      </c>
      <c r="AV162" s="144">
        <f t="shared" si="55"/>
        <v>17218.330000000002</v>
      </c>
      <c r="AW162" s="145">
        <f t="shared" si="74"/>
        <v>25659.439999999999</v>
      </c>
      <c r="AX162" s="146">
        <f t="shared" si="56"/>
        <v>17218.330000000002</v>
      </c>
      <c r="AY162" s="138"/>
      <c r="AZ162" s="138"/>
      <c r="BA162" s="147"/>
      <c r="BB162" s="148"/>
    </row>
    <row r="163" spans="1:54" ht="36" x14ac:dyDescent="0.25">
      <c r="A163" s="132"/>
      <c r="B163" s="132">
        <v>24</v>
      </c>
      <c r="C163" s="181" t="s">
        <v>51</v>
      </c>
      <c r="D163" s="132" t="s">
        <v>295</v>
      </c>
      <c r="E163" s="132" t="s">
        <v>301</v>
      </c>
      <c r="F163" s="132">
        <v>5</v>
      </c>
      <c r="G163" s="134">
        <v>105</v>
      </c>
      <c r="H163" s="134" t="s">
        <v>297</v>
      </c>
      <c r="I163" s="135">
        <v>1</v>
      </c>
      <c r="J163" s="136">
        <v>31761000</v>
      </c>
      <c r="K163" s="137"/>
      <c r="L163" s="138">
        <v>31655130</v>
      </c>
      <c r="M163" s="138">
        <f t="shared" si="75"/>
        <v>31655130</v>
      </c>
      <c r="N163" s="138">
        <v>2</v>
      </c>
      <c r="O163" s="138">
        <v>71.3</v>
      </c>
      <c r="P163" s="135"/>
      <c r="Q163" s="135"/>
      <c r="R163" s="135"/>
      <c r="S163" s="135"/>
      <c r="T163" s="135"/>
      <c r="U163" s="139" t="s">
        <v>316</v>
      </c>
      <c r="V163" s="140" t="s">
        <v>56</v>
      </c>
      <c r="W163" s="132"/>
      <c r="X163" s="141"/>
      <c r="Y163" s="141"/>
      <c r="Z163" s="141">
        <v>19.3</v>
      </c>
      <c r="AA163" s="141" t="s">
        <v>299</v>
      </c>
      <c r="AB163" s="141">
        <f t="shared" si="42"/>
        <v>0.7</v>
      </c>
      <c r="AC163" s="142">
        <f t="shared" si="43"/>
        <v>13.51</v>
      </c>
      <c r="AD163" s="138">
        <f t="shared" si="44"/>
        <v>963.26</v>
      </c>
      <c r="AE163" s="138">
        <f t="shared" si="57"/>
        <v>321.08999999999997</v>
      </c>
      <c r="AF163" s="143">
        <f t="shared" si="58"/>
        <v>26467.5</v>
      </c>
      <c r="AG163" s="138">
        <f t="shared" si="59"/>
        <v>31655130</v>
      </c>
      <c r="AH163" s="138">
        <f t="shared" si="60"/>
        <v>31628662.5</v>
      </c>
      <c r="AI163" s="138">
        <f t="shared" si="61"/>
        <v>31602195</v>
      </c>
      <c r="AJ163" s="138">
        <f t="shared" si="62"/>
        <v>31575727.5</v>
      </c>
      <c r="AK163" s="138">
        <f t="shared" si="63"/>
        <v>31549260</v>
      </c>
      <c r="AL163" s="138">
        <f t="shared" si="64"/>
        <v>31522792.5</v>
      </c>
      <c r="AM163" s="138">
        <f t="shared" si="65"/>
        <v>31496325</v>
      </c>
      <c r="AN163" s="138">
        <f t="shared" si="66"/>
        <v>31469857.5</v>
      </c>
      <c r="AO163" s="138">
        <f t="shared" si="67"/>
        <v>31443390</v>
      </c>
      <c r="AP163" s="138">
        <f t="shared" si="68"/>
        <v>31416922.5</v>
      </c>
      <c r="AQ163" s="138">
        <f t="shared" si="69"/>
        <v>31390455</v>
      </c>
      <c r="AR163" s="138">
        <f t="shared" si="70"/>
        <v>31363987.5</v>
      </c>
      <c r="AS163" s="138">
        <f t="shared" si="71"/>
        <v>31337520</v>
      </c>
      <c r="AT163" s="138">
        <f t="shared" si="72"/>
        <v>472444.88</v>
      </c>
      <c r="AU163" s="138">
        <f t="shared" si="73"/>
        <v>473408.14</v>
      </c>
      <c r="AV163" s="144">
        <f t="shared" si="55"/>
        <v>26467.5</v>
      </c>
      <c r="AW163" s="145">
        <f t="shared" si="74"/>
        <v>39450.68</v>
      </c>
      <c r="AX163" s="146">
        <f t="shared" si="56"/>
        <v>26467.5</v>
      </c>
      <c r="AY163" s="138"/>
      <c r="AZ163" s="138"/>
      <c r="BA163" s="147"/>
      <c r="BB163" s="148"/>
    </row>
    <row r="164" spans="1:54" ht="36" x14ac:dyDescent="0.25">
      <c r="A164" s="132"/>
      <c r="B164" s="132">
        <v>25</v>
      </c>
      <c r="C164" s="181" t="s">
        <v>51</v>
      </c>
      <c r="D164" s="132" t="s">
        <v>295</v>
      </c>
      <c r="E164" s="132" t="s">
        <v>301</v>
      </c>
      <c r="F164" s="132">
        <v>5</v>
      </c>
      <c r="G164" s="134">
        <v>110</v>
      </c>
      <c r="H164" s="134" t="s">
        <v>297</v>
      </c>
      <c r="I164" s="149">
        <v>1</v>
      </c>
      <c r="J164" s="150">
        <v>31850000</v>
      </c>
      <c r="K164" s="151"/>
      <c r="L164" s="146">
        <v>31743833.319999993</v>
      </c>
      <c r="M164" s="146">
        <f t="shared" si="75"/>
        <v>31743833.319999993</v>
      </c>
      <c r="N164" s="146">
        <v>2</v>
      </c>
      <c r="O164" s="146">
        <v>71.5</v>
      </c>
      <c r="P164" s="149"/>
      <c r="Q164" s="149"/>
      <c r="R164" s="149"/>
      <c r="S164" s="149"/>
      <c r="T164" s="149"/>
      <c r="U164" s="139" t="s">
        <v>317</v>
      </c>
      <c r="V164" s="140" t="s">
        <v>56</v>
      </c>
      <c r="W164" s="132"/>
      <c r="X164" s="141"/>
      <c r="Y164" s="141"/>
      <c r="Z164" s="141">
        <v>19.3</v>
      </c>
      <c r="AA164" s="141" t="s">
        <v>299</v>
      </c>
      <c r="AB164" s="141">
        <f t="shared" si="42"/>
        <v>0.7</v>
      </c>
      <c r="AC164" s="142">
        <f t="shared" si="43"/>
        <v>13.51</v>
      </c>
      <c r="AD164" s="138">
        <f t="shared" si="44"/>
        <v>965.97</v>
      </c>
      <c r="AE164" s="138">
        <f t="shared" si="57"/>
        <v>321.99</v>
      </c>
      <c r="AF164" s="143">
        <f t="shared" si="58"/>
        <v>26541.67</v>
      </c>
      <c r="AG164" s="138">
        <f t="shared" si="59"/>
        <v>31743833.319999993</v>
      </c>
      <c r="AH164" s="138">
        <f t="shared" si="60"/>
        <v>31717291.649999991</v>
      </c>
      <c r="AI164" s="138">
        <f t="shared" si="61"/>
        <v>31690749.979999989</v>
      </c>
      <c r="AJ164" s="138">
        <f t="shared" si="62"/>
        <v>31664208.309999987</v>
      </c>
      <c r="AK164" s="138">
        <f t="shared" si="63"/>
        <v>31637666.639999986</v>
      </c>
      <c r="AL164" s="138">
        <f t="shared" si="64"/>
        <v>31611124.969999984</v>
      </c>
      <c r="AM164" s="138">
        <f t="shared" si="65"/>
        <v>31584583.299999982</v>
      </c>
      <c r="AN164" s="138">
        <f t="shared" si="66"/>
        <v>31558041.62999998</v>
      </c>
      <c r="AO164" s="138">
        <f t="shared" si="67"/>
        <v>31531499.959999979</v>
      </c>
      <c r="AP164" s="138">
        <f t="shared" si="68"/>
        <v>31504958.289999977</v>
      </c>
      <c r="AQ164" s="138">
        <f t="shared" si="69"/>
        <v>31478416.619999975</v>
      </c>
      <c r="AR164" s="138">
        <f t="shared" si="70"/>
        <v>31451874.949999973</v>
      </c>
      <c r="AS164" s="138">
        <f t="shared" si="71"/>
        <v>31425333.279999971</v>
      </c>
      <c r="AT164" s="138">
        <f t="shared" si="72"/>
        <v>473768.75</v>
      </c>
      <c r="AU164" s="138">
        <f t="shared" si="73"/>
        <v>474734.72</v>
      </c>
      <c r="AV164" s="144">
        <f t="shared" si="55"/>
        <v>26541.67</v>
      </c>
      <c r="AW164" s="145">
        <f t="shared" si="74"/>
        <v>39561.230000000003</v>
      </c>
      <c r="AX164" s="146">
        <f t="shared" si="56"/>
        <v>26541.67</v>
      </c>
      <c r="AY164" s="138"/>
      <c r="AZ164" s="138"/>
      <c r="BA164" s="147"/>
      <c r="BB164" s="148" t="s">
        <v>318</v>
      </c>
    </row>
    <row r="165" spans="1:54" ht="36" x14ac:dyDescent="0.25">
      <c r="A165" s="132"/>
      <c r="B165" s="132">
        <v>26</v>
      </c>
      <c r="C165" s="181" t="s">
        <v>51</v>
      </c>
      <c r="D165" s="132" t="s">
        <v>295</v>
      </c>
      <c r="E165" s="132" t="s">
        <v>301</v>
      </c>
      <c r="F165" s="132">
        <v>5</v>
      </c>
      <c r="G165" s="134">
        <v>115</v>
      </c>
      <c r="H165" s="134" t="s">
        <v>297</v>
      </c>
      <c r="I165" s="135">
        <v>1</v>
      </c>
      <c r="J165" s="136">
        <v>31850000</v>
      </c>
      <c r="K165" s="137"/>
      <c r="L165" s="138">
        <v>31743833.319999993</v>
      </c>
      <c r="M165" s="138">
        <f t="shared" si="75"/>
        <v>31743833.319999993</v>
      </c>
      <c r="N165" s="138">
        <v>2</v>
      </c>
      <c r="O165" s="138">
        <v>71.5</v>
      </c>
      <c r="P165" s="135"/>
      <c r="Q165" s="135"/>
      <c r="R165" s="135"/>
      <c r="S165" s="135"/>
      <c r="T165" s="135"/>
      <c r="U165" s="139" t="s">
        <v>319</v>
      </c>
      <c r="V165" s="140" t="s">
        <v>56</v>
      </c>
      <c r="W165" s="132"/>
      <c r="X165" s="132"/>
      <c r="Y165" s="141"/>
      <c r="Z165" s="141">
        <v>19.3</v>
      </c>
      <c r="AA165" s="141" t="s">
        <v>299</v>
      </c>
      <c r="AB165" s="141">
        <f t="shared" si="42"/>
        <v>0.7</v>
      </c>
      <c r="AC165" s="142">
        <f t="shared" si="43"/>
        <v>13.51</v>
      </c>
      <c r="AD165" s="138">
        <f t="shared" si="44"/>
        <v>965.97</v>
      </c>
      <c r="AE165" s="138">
        <f t="shared" si="57"/>
        <v>321.99</v>
      </c>
      <c r="AF165" s="143">
        <f t="shared" si="58"/>
        <v>26541.67</v>
      </c>
      <c r="AG165" s="138">
        <f t="shared" si="59"/>
        <v>31743833.319999993</v>
      </c>
      <c r="AH165" s="138">
        <f t="shared" si="60"/>
        <v>31717291.649999991</v>
      </c>
      <c r="AI165" s="138">
        <f t="shared" si="61"/>
        <v>31690749.979999989</v>
      </c>
      <c r="AJ165" s="138">
        <f t="shared" si="62"/>
        <v>31664208.309999987</v>
      </c>
      <c r="AK165" s="138">
        <f t="shared" si="63"/>
        <v>31637666.639999986</v>
      </c>
      <c r="AL165" s="138">
        <f t="shared" si="64"/>
        <v>31611124.969999984</v>
      </c>
      <c r="AM165" s="138">
        <f t="shared" si="65"/>
        <v>31584583.299999982</v>
      </c>
      <c r="AN165" s="138">
        <f t="shared" si="66"/>
        <v>31558041.62999998</v>
      </c>
      <c r="AO165" s="138">
        <f t="shared" si="67"/>
        <v>31531499.959999979</v>
      </c>
      <c r="AP165" s="138">
        <f t="shared" si="68"/>
        <v>31504958.289999977</v>
      </c>
      <c r="AQ165" s="138">
        <f t="shared" si="69"/>
        <v>31478416.619999975</v>
      </c>
      <c r="AR165" s="138">
        <f t="shared" si="70"/>
        <v>31451874.949999973</v>
      </c>
      <c r="AS165" s="138">
        <f t="shared" si="71"/>
        <v>31425333.279999971</v>
      </c>
      <c r="AT165" s="138">
        <f t="shared" si="72"/>
        <v>473768.75</v>
      </c>
      <c r="AU165" s="138">
        <f t="shared" si="73"/>
        <v>474734.72</v>
      </c>
      <c r="AV165" s="144">
        <f t="shared" si="55"/>
        <v>26541.67</v>
      </c>
      <c r="AW165" s="145">
        <f t="shared" si="74"/>
        <v>39561.230000000003</v>
      </c>
      <c r="AX165" s="146">
        <f t="shared" si="56"/>
        <v>26541.67</v>
      </c>
      <c r="AY165" s="138"/>
      <c r="AZ165" s="138"/>
      <c r="BA165" s="147"/>
      <c r="BB165" s="148"/>
    </row>
    <row r="166" spans="1:54" ht="36" x14ac:dyDescent="0.25">
      <c r="A166" s="132"/>
      <c r="B166" s="132">
        <v>27</v>
      </c>
      <c r="C166" s="181" t="s">
        <v>51</v>
      </c>
      <c r="D166" s="132" t="s">
        <v>295</v>
      </c>
      <c r="E166" s="132" t="s">
        <v>301</v>
      </c>
      <c r="F166" s="132">
        <v>5</v>
      </c>
      <c r="G166" s="134">
        <v>125</v>
      </c>
      <c r="H166" s="134" t="s">
        <v>297</v>
      </c>
      <c r="I166" s="135">
        <v>1</v>
      </c>
      <c r="J166" s="136">
        <v>31761000</v>
      </c>
      <c r="K166" s="137"/>
      <c r="L166" s="138">
        <v>31655130</v>
      </c>
      <c r="M166" s="138">
        <f t="shared" si="75"/>
        <v>31655130</v>
      </c>
      <c r="N166" s="138">
        <v>2</v>
      </c>
      <c r="O166" s="138">
        <v>71.3</v>
      </c>
      <c r="P166" s="135"/>
      <c r="Q166" s="135"/>
      <c r="R166" s="135"/>
      <c r="S166" s="135"/>
      <c r="T166" s="135"/>
      <c r="U166" s="139" t="s">
        <v>320</v>
      </c>
      <c r="V166" s="140" t="s">
        <v>56</v>
      </c>
      <c r="W166" s="132"/>
      <c r="X166" s="132"/>
      <c r="Y166" s="141"/>
      <c r="Z166" s="141">
        <v>19.3</v>
      </c>
      <c r="AA166" s="141" t="s">
        <v>299</v>
      </c>
      <c r="AB166" s="141">
        <f t="shared" si="42"/>
        <v>0.7</v>
      </c>
      <c r="AC166" s="142">
        <f t="shared" si="43"/>
        <v>13.51</v>
      </c>
      <c r="AD166" s="138">
        <f t="shared" si="44"/>
        <v>963.26</v>
      </c>
      <c r="AE166" s="138">
        <f t="shared" si="57"/>
        <v>321.08999999999997</v>
      </c>
      <c r="AF166" s="143">
        <f t="shared" si="58"/>
        <v>26467.5</v>
      </c>
      <c r="AG166" s="138">
        <f t="shared" si="59"/>
        <v>31655130</v>
      </c>
      <c r="AH166" s="138">
        <f t="shared" si="60"/>
        <v>31628662.5</v>
      </c>
      <c r="AI166" s="138">
        <f t="shared" si="61"/>
        <v>31602195</v>
      </c>
      <c r="AJ166" s="138">
        <f t="shared" si="62"/>
        <v>31575727.5</v>
      </c>
      <c r="AK166" s="138">
        <f t="shared" si="63"/>
        <v>31549260</v>
      </c>
      <c r="AL166" s="138">
        <f t="shared" si="64"/>
        <v>31522792.5</v>
      </c>
      <c r="AM166" s="138">
        <f t="shared" si="65"/>
        <v>31496325</v>
      </c>
      <c r="AN166" s="138">
        <f t="shared" si="66"/>
        <v>31469857.5</v>
      </c>
      <c r="AO166" s="138">
        <f t="shared" si="67"/>
        <v>31443390</v>
      </c>
      <c r="AP166" s="138">
        <f t="shared" si="68"/>
        <v>31416922.5</v>
      </c>
      <c r="AQ166" s="138">
        <f t="shared" si="69"/>
        <v>31390455</v>
      </c>
      <c r="AR166" s="138">
        <f t="shared" si="70"/>
        <v>31363987.5</v>
      </c>
      <c r="AS166" s="138">
        <f t="shared" si="71"/>
        <v>31337520</v>
      </c>
      <c r="AT166" s="138">
        <f t="shared" si="72"/>
        <v>472444.88</v>
      </c>
      <c r="AU166" s="138">
        <f t="shared" si="73"/>
        <v>473408.14</v>
      </c>
      <c r="AV166" s="144">
        <f t="shared" si="55"/>
        <v>26467.5</v>
      </c>
      <c r="AW166" s="145">
        <f t="shared" si="74"/>
        <v>39450.68</v>
      </c>
      <c r="AX166" s="146">
        <f t="shared" si="56"/>
        <v>26467.5</v>
      </c>
      <c r="AY166" s="138"/>
      <c r="AZ166" s="138"/>
      <c r="BA166" s="147"/>
      <c r="BB166" s="148"/>
    </row>
    <row r="167" spans="1:54" ht="36" x14ac:dyDescent="0.25">
      <c r="A167" s="132"/>
      <c r="B167" s="132">
        <v>28</v>
      </c>
      <c r="C167" s="181" t="s">
        <v>51</v>
      </c>
      <c r="D167" s="132" t="s">
        <v>295</v>
      </c>
      <c r="E167" s="132" t="s">
        <v>301</v>
      </c>
      <c r="F167" s="132">
        <v>5</v>
      </c>
      <c r="G167" s="134">
        <v>130</v>
      </c>
      <c r="H167" s="134" t="s">
        <v>297</v>
      </c>
      <c r="I167" s="149">
        <v>1</v>
      </c>
      <c r="J167" s="150">
        <v>31716000</v>
      </c>
      <c r="K167" s="151"/>
      <c r="L167" s="146">
        <v>31610280</v>
      </c>
      <c r="M167" s="146">
        <f t="shared" si="75"/>
        <v>31610280</v>
      </c>
      <c r="N167" s="146">
        <v>2</v>
      </c>
      <c r="O167" s="146">
        <v>71.2</v>
      </c>
      <c r="P167" s="149"/>
      <c r="Q167" s="149"/>
      <c r="R167" s="149"/>
      <c r="S167" s="149"/>
      <c r="T167" s="149"/>
      <c r="U167" s="139" t="s">
        <v>321</v>
      </c>
      <c r="V167" s="140" t="s">
        <v>56</v>
      </c>
      <c r="W167" s="132"/>
      <c r="X167" s="132"/>
      <c r="Y167" s="141"/>
      <c r="Z167" s="141">
        <v>19.3</v>
      </c>
      <c r="AA167" s="141" t="s">
        <v>299</v>
      </c>
      <c r="AB167" s="141">
        <f t="shared" si="42"/>
        <v>0.7</v>
      </c>
      <c r="AC167" s="142">
        <f t="shared" si="43"/>
        <v>13.51</v>
      </c>
      <c r="AD167" s="138">
        <f t="shared" si="44"/>
        <v>961.91</v>
      </c>
      <c r="AE167" s="138">
        <f t="shared" si="57"/>
        <v>320.64</v>
      </c>
      <c r="AF167" s="143">
        <f t="shared" si="58"/>
        <v>26430</v>
      </c>
      <c r="AG167" s="138">
        <f t="shared" si="59"/>
        <v>31610280</v>
      </c>
      <c r="AH167" s="138">
        <f t="shared" si="60"/>
        <v>31583850</v>
      </c>
      <c r="AI167" s="138">
        <f t="shared" si="61"/>
        <v>31557420</v>
      </c>
      <c r="AJ167" s="138">
        <f t="shared" si="62"/>
        <v>31530990</v>
      </c>
      <c r="AK167" s="138">
        <f t="shared" si="63"/>
        <v>31504560</v>
      </c>
      <c r="AL167" s="138">
        <f t="shared" si="64"/>
        <v>31478130</v>
      </c>
      <c r="AM167" s="138">
        <f t="shared" si="65"/>
        <v>31451700</v>
      </c>
      <c r="AN167" s="138">
        <f t="shared" si="66"/>
        <v>31425270</v>
      </c>
      <c r="AO167" s="138">
        <f t="shared" si="67"/>
        <v>31398840</v>
      </c>
      <c r="AP167" s="138">
        <f t="shared" si="68"/>
        <v>31372410</v>
      </c>
      <c r="AQ167" s="138">
        <f t="shared" si="69"/>
        <v>31345980</v>
      </c>
      <c r="AR167" s="138">
        <f t="shared" si="70"/>
        <v>31319550</v>
      </c>
      <c r="AS167" s="138">
        <f t="shared" si="71"/>
        <v>31293120</v>
      </c>
      <c r="AT167" s="138">
        <f t="shared" si="72"/>
        <v>471775.5</v>
      </c>
      <c r="AU167" s="138">
        <f t="shared" si="73"/>
        <v>472737.41</v>
      </c>
      <c r="AV167" s="144">
        <f t="shared" si="55"/>
        <v>26430</v>
      </c>
      <c r="AW167" s="145">
        <f t="shared" si="74"/>
        <v>39394.78</v>
      </c>
      <c r="AX167" s="146">
        <f t="shared" si="56"/>
        <v>26430</v>
      </c>
      <c r="AY167" s="138"/>
      <c r="AZ167" s="138"/>
      <c r="BA167" s="147"/>
      <c r="BB167" s="148"/>
    </row>
    <row r="168" spans="1:54" ht="36" x14ac:dyDescent="0.25">
      <c r="A168" s="132"/>
      <c r="B168" s="132">
        <v>29</v>
      </c>
      <c r="C168" s="181" t="s">
        <v>51</v>
      </c>
      <c r="D168" s="132" t="s">
        <v>295</v>
      </c>
      <c r="E168" s="132" t="s">
        <v>301</v>
      </c>
      <c r="F168" s="132">
        <v>5</v>
      </c>
      <c r="G168" s="134">
        <v>135</v>
      </c>
      <c r="H168" s="134" t="s">
        <v>297</v>
      </c>
      <c r="I168" s="135">
        <v>1</v>
      </c>
      <c r="J168" s="136">
        <v>31805000</v>
      </c>
      <c r="K168" s="137"/>
      <c r="L168" s="138">
        <v>31698983.319999993</v>
      </c>
      <c r="M168" s="138">
        <f t="shared" si="75"/>
        <v>31698983.319999993</v>
      </c>
      <c r="N168" s="138">
        <v>2</v>
      </c>
      <c r="O168" s="138">
        <v>71.400000000000006</v>
      </c>
      <c r="P168" s="135"/>
      <c r="Q168" s="135"/>
      <c r="R168" s="135"/>
      <c r="S168" s="135"/>
      <c r="T168" s="135"/>
      <c r="U168" s="139" t="s">
        <v>322</v>
      </c>
      <c r="V168" s="140" t="s">
        <v>56</v>
      </c>
      <c r="W168" s="132"/>
      <c r="X168" s="132"/>
      <c r="Y168" s="141"/>
      <c r="Z168" s="141">
        <v>19.3</v>
      </c>
      <c r="AA168" s="141" t="s">
        <v>299</v>
      </c>
      <c r="AB168" s="141">
        <f t="shared" si="42"/>
        <v>0.7</v>
      </c>
      <c r="AC168" s="142">
        <f t="shared" si="43"/>
        <v>13.51</v>
      </c>
      <c r="AD168" s="138">
        <f t="shared" si="44"/>
        <v>964.61</v>
      </c>
      <c r="AE168" s="138">
        <f t="shared" si="57"/>
        <v>321.54000000000002</v>
      </c>
      <c r="AF168" s="143">
        <f t="shared" si="58"/>
        <v>26504.17</v>
      </c>
      <c r="AG168" s="138">
        <f t="shared" si="59"/>
        <v>31698983.319999993</v>
      </c>
      <c r="AH168" s="138">
        <f t="shared" si="60"/>
        <v>31672479.149999991</v>
      </c>
      <c r="AI168" s="138">
        <f t="shared" si="61"/>
        <v>31645974.979999989</v>
      </c>
      <c r="AJ168" s="138">
        <f t="shared" si="62"/>
        <v>31619470.809999987</v>
      </c>
      <c r="AK168" s="138">
        <f t="shared" si="63"/>
        <v>31592966.639999986</v>
      </c>
      <c r="AL168" s="138">
        <f t="shared" si="64"/>
        <v>31566462.469999984</v>
      </c>
      <c r="AM168" s="138">
        <f t="shared" si="65"/>
        <v>31539958.299999982</v>
      </c>
      <c r="AN168" s="138">
        <f t="shared" si="66"/>
        <v>31513454.12999998</v>
      </c>
      <c r="AO168" s="138">
        <f t="shared" si="67"/>
        <v>31486949.959999979</v>
      </c>
      <c r="AP168" s="138">
        <f t="shared" si="68"/>
        <v>31460445.789999977</v>
      </c>
      <c r="AQ168" s="138">
        <f t="shared" si="69"/>
        <v>31433941.619999975</v>
      </c>
      <c r="AR168" s="138">
        <f t="shared" si="70"/>
        <v>31407437.449999973</v>
      </c>
      <c r="AS168" s="138">
        <f t="shared" si="71"/>
        <v>31380933.279999971</v>
      </c>
      <c r="AT168" s="138">
        <f t="shared" si="72"/>
        <v>473099.37</v>
      </c>
      <c r="AU168" s="138">
        <f t="shared" si="73"/>
        <v>474063.98</v>
      </c>
      <c r="AV168" s="144">
        <f t="shared" si="55"/>
        <v>26504.17</v>
      </c>
      <c r="AW168" s="145">
        <f t="shared" si="74"/>
        <v>39505.33</v>
      </c>
      <c r="AX168" s="146">
        <f t="shared" si="56"/>
        <v>26504.17</v>
      </c>
      <c r="AY168" s="138"/>
      <c r="AZ168" s="138"/>
      <c r="BA168" s="147"/>
      <c r="BB168" s="148"/>
    </row>
    <row r="169" spans="1:54" ht="36" x14ac:dyDescent="0.25">
      <c r="A169" s="132"/>
      <c r="B169" s="132">
        <v>30</v>
      </c>
      <c r="C169" s="181" t="s">
        <v>51</v>
      </c>
      <c r="D169" s="132" t="s">
        <v>295</v>
      </c>
      <c r="E169" s="132" t="s">
        <v>301</v>
      </c>
      <c r="F169" s="132">
        <v>5</v>
      </c>
      <c r="G169" s="134">
        <v>140</v>
      </c>
      <c r="H169" s="134" t="s">
        <v>297</v>
      </c>
      <c r="I169" s="135">
        <v>1</v>
      </c>
      <c r="J169" s="136">
        <v>31716000</v>
      </c>
      <c r="K169" s="137"/>
      <c r="L169" s="138">
        <v>31610280</v>
      </c>
      <c r="M169" s="138">
        <f t="shared" si="75"/>
        <v>31610280</v>
      </c>
      <c r="N169" s="138">
        <v>2</v>
      </c>
      <c r="O169" s="138">
        <v>71.2</v>
      </c>
      <c r="P169" s="135"/>
      <c r="Q169" s="135"/>
      <c r="R169" s="135"/>
      <c r="S169" s="135"/>
      <c r="T169" s="135"/>
      <c r="U169" s="139" t="s">
        <v>323</v>
      </c>
      <c r="V169" s="140" t="s">
        <v>56</v>
      </c>
      <c r="W169" s="132"/>
      <c r="X169" s="132"/>
      <c r="Y169" s="141"/>
      <c r="Z169" s="141">
        <v>19.3</v>
      </c>
      <c r="AA169" s="141" t="s">
        <v>299</v>
      </c>
      <c r="AB169" s="141">
        <f t="shared" si="42"/>
        <v>0.7</v>
      </c>
      <c r="AC169" s="142">
        <f t="shared" si="43"/>
        <v>13.51</v>
      </c>
      <c r="AD169" s="138">
        <f t="shared" si="44"/>
        <v>961.91</v>
      </c>
      <c r="AE169" s="138">
        <f t="shared" si="57"/>
        <v>320.64</v>
      </c>
      <c r="AF169" s="143">
        <f t="shared" si="58"/>
        <v>26430</v>
      </c>
      <c r="AG169" s="138">
        <f t="shared" si="59"/>
        <v>31610280</v>
      </c>
      <c r="AH169" s="138">
        <f t="shared" si="60"/>
        <v>31583850</v>
      </c>
      <c r="AI169" s="138">
        <f t="shared" si="61"/>
        <v>31557420</v>
      </c>
      <c r="AJ169" s="138">
        <f t="shared" si="62"/>
        <v>31530990</v>
      </c>
      <c r="AK169" s="138">
        <f t="shared" si="63"/>
        <v>31504560</v>
      </c>
      <c r="AL169" s="138">
        <f t="shared" si="64"/>
        <v>31478130</v>
      </c>
      <c r="AM169" s="138">
        <f t="shared" si="65"/>
        <v>31451700</v>
      </c>
      <c r="AN169" s="138">
        <f t="shared" si="66"/>
        <v>31425270</v>
      </c>
      <c r="AO169" s="138">
        <f t="shared" si="67"/>
        <v>31398840</v>
      </c>
      <c r="AP169" s="138">
        <f t="shared" si="68"/>
        <v>31372410</v>
      </c>
      <c r="AQ169" s="138">
        <f t="shared" si="69"/>
        <v>31345980</v>
      </c>
      <c r="AR169" s="138">
        <f t="shared" si="70"/>
        <v>31319550</v>
      </c>
      <c r="AS169" s="138">
        <f t="shared" si="71"/>
        <v>31293120</v>
      </c>
      <c r="AT169" s="138">
        <f t="shared" si="72"/>
        <v>471775.5</v>
      </c>
      <c r="AU169" s="138">
        <f t="shared" si="73"/>
        <v>472737.41</v>
      </c>
      <c r="AV169" s="144">
        <f t="shared" si="55"/>
        <v>26430</v>
      </c>
      <c r="AW169" s="145">
        <f t="shared" si="74"/>
        <v>39394.78</v>
      </c>
      <c r="AX169" s="146">
        <f t="shared" si="56"/>
        <v>26430</v>
      </c>
      <c r="AY169" s="138"/>
      <c r="AZ169" s="138"/>
      <c r="BA169" s="147"/>
      <c r="BB169" s="148"/>
    </row>
    <row r="170" spans="1:54" ht="36" x14ac:dyDescent="0.25">
      <c r="A170" s="181"/>
      <c r="B170" s="181">
        <v>31</v>
      </c>
      <c r="C170" s="181" t="s">
        <v>51</v>
      </c>
      <c r="D170" s="181" t="s">
        <v>295</v>
      </c>
      <c r="E170" s="132" t="s">
        <v>301</v>
      </c>
      <c r="F170" s="181">
        <v>5</v>
      </c>
      <c r="G170" s="181">
        <v>145</v>
      </c>
      <c r="H170" s="181" t="s">
        <v>297</v>
      </c>
      <c r="I170" s="182">
        <v>1</v>
      </c>
      <c r="J170" s="183">
        <v>31716000</v>
      </c>
      <c r="K170" s="184"/>
      <c r="L170" s="144">
        <v>31610280</v>
      </c>
      <c r="M170" s="144">
        <f t="shared" si="75"/>
        <v>31610280</v>
      </c>
      <c r="N170" s="144">
        <v>2</v>
      </c>
      <c r="O170" s="144">
        <v>71.2</v>
      </c>
      <c r="P170" s="182"/>
      <c r="Q170" s="182"/>
      <c r="R170" s="182"/>
      <c r="S170" s="182"/>
      <c r="T170" s="182"/>
      <c r="U170" s="185" t="s">
        <v>324</v>
      </c>
      <c r="V170" s="186" t="s">
        <v>56</v>
      </c>
      <c r="W170" s="181"/>
      <c r="X170" s="181"/>
      <c r="Y170" s="187"/>
      <c r="Z170" s="187">
        <v>19.3</v>
      </c>
      <c r="AA170" s="187" t="s">
        <v>299</v>
      </c>
      <c r="AB170" s="187">
        <f t="shared" si="42"/>
        <v>0.7</v>
      </c>
      <c r="AC170" s="188">
        <f t="shared" si="43"/>
        <v>13.51</v>
      </c>
      <c r="AD170" s="144">
        <f t="shared" si="44"/>
        <v>961.91</v>
      </c>
      <c r="AE170" s="144">
        <f t="shared" si="57"/>
        <v>320.64</v>
      </c>
      <c r="AF170" s="144">
        <f t="shared" si="58"/>
        <v>26430</v>
      </c>
      <c r="AG170" s="144">
        <f t="shared" si="59"/>
        <v>31610280</v>
      </c>
      <c r="AH170" s="144">
        <f t="shared" si="60"/>
        <v>31583850</v>
      </c>
      <c r="AI170" s="144">
        <f t="shared" si="61"/>
        <v>31557420</v>
      </c>
      <c r="AJ170" s="144">
        <f t="shared" si="62"/>
        <v>31530990</v>
      </c>
      <c r="AK170" s="144">
        <f t="shared" si="63"/>
        <v>31504560</v>
      </c>
      <c r="AL170" s="144">
        <f t="shared" si="64"/>
        <v>31478130</v>
      </c>
      <c r="AM170" s="144">
        <f t="shared" si="65"/>
        <v>31451700</v>
      </c>
      <c r="AN170" s="144">
        <f t="shared" si="66"/>
        <v>31425270</v>
      </c>
      <c r="AO170" s="144">
        <f t="shared" si="67"/>
        <v>31398840</v>
      </c>
      <c r="AP170" s="144">
        <f t="shared" si="68"/>
        <v>31372410</v>
      </c>
      <c r="AQ170" s="144">
        <f t="shared" si="69"/>
        <v>31345980</v>
      </c>
      <c r="AR170" s="144">
        <f t="shared" si="70"/>
        <v>31319550</v>
      </c>
      <c r="AS170" s="144">
        <f t="shared" si="71"/>
        <v>31293120</v>
      </c>
      <c r="AT170" s="144">
        <f t="shared" si="72"/>
        <v>471775.5</v>
      </c>
      <c r="AU170" s="144">
        <f t="shared" si="73"/>
        <v>472737.41</v>
      </c>
      <c r="AV170" s="144">
        <f t="shared" si="55"/>
        <v>26430</v>
      </c>
      <c r="AW170" s="189">
        <f t="shared" si="74"/>
        <v>39394.78</v>
      </c>
      <c r="AX170" s="144">
        <f t="shared" si="56"/>
        <v>26430</v>
      </c>
      <c r="AY170" s="144"/>
      <c r="AZ170" s="144"/>
      <c r="BA170" s="190"/>
      <c r="BB170" s="191" t="s">
        <v>325</v>
      </c>
    </row>
    <row r="171" spans="1:54" ht="36" x14ac:dyDescent="0.25">
      <c r="A171" s="192"/>
      <c r="B171" s="192">
        <v>32</v>
      </c>
      <c r="C171" s="193" t="s">
        <v>51</v>
      </c>
      <c r="D171" s="132" t="s">
        <v>295</v>
      </c>
      <c r="E171" s="132" t="s">
        <v>301</v>
      </c>
      <c r="F171" s="192">
        <v>5</v>
      </c>
      <c r="G171" s="194">
        <v>206</v>
      </c>
      <c r="H171" s="195" t="s">
        <v>297</v>
      </c>
      <c r="I171" s="196">
        <v>1</v>
      </c>
      <c r="J171" s="197">
        <v>31761000</v>
      </c>
      <c r="K171" s="198"/>
      <c r="L171" s="199">
        <v>31655130</v>
      </c>
      <c r="M171" s="199">
        <f t="shared" si="75"/>
        <v>31655130</v>
      </c>
      <c r="N171" s="199">
        <v>2</v>
      </c>
      <c r="O171" s="199">
        <v>71.3</v>
      </c>
      <c r="P171" s="196"/>
      <c r="Q171" s="196"/>
      <c r="R171" s="196"/>
      <c r="S171" s="196"/>
      <c r="T171" s="196"/>
      <c r="U171" s="153" t="s">
        <v>326</v>
      </c>
      <c r="V171" s="200" t="s">
        <v>56</v>
      </c>
      <c r="W171" s="192"/>
      <c r="X171" s="192"/>
      <c r="Y171" s="201"/>
      <c r="Z171" s="201">
        <v>19.3</v>
      </c>
      <c r="AA171" s="201" t="s">
        <v>299</v>
      </c>
      <c r="AB171" s="201">
        <f t="shared" si="42"/>
        <v>0.7</v>
      </c>
      <c r="AC171" s="202">
        <f t="shared" si="43"/>
        <v>13.51</v>
      </c>
      <c r="AD171" s="199">
        <f t="shared" si="44"/>
        <v>963.26</v>
      </c>
      <c r="AE171" s="138">
        <f t="shared" si="57"/>
        <v>321.08999999999997</v>
      </c>
      <c r="AF171" s="143">
        <f t="shared" si="58"/>
        <v>26467.5</v>
      </c>
      <c r="AG171" s="138">
        <f t="shared" si="59"/>
        <v>31655130</v>
      </c>
      <c r="AH171" s="138">
        <f t="shared" si="60"/>
        <v>31628662.5</v>
      </c>
      <c r="AI171" s="138">
        <f t="shared" si="61"/>
        <v>31602195</v>
      </c>
      <c r="AJ171" s="138">
        <f t="shared" si="62"/>
        <v>31575727.5</v>
      </c>
      <c r="AK171" s="138">
        <f t="shared" si="63"/>
        <v>31549260</v>
      </c>
      <c r="AL171" s="138">
        <f t="shared" si="64"/>
        <v>31522792.5</v>
      </c>
      <c r="AM171" s="138">
        <f t="shared" si="65"/>
        <v>31496325</v>
      </c>
      <c r="AN171" s="138">
        <f t="shared" si="66"/>
        <v>31469857.5</v>
      </c>
      <c r="AO171" s="138">
        <f t="shared" si="67"/>
        <v>31443390</v>
      </c>
      <c r="AP171" s="138">
        <f t="shared" si="68"/>
        <v>31416922.5</v>
      </c>
      <c r="AQ171" s="138">
        <f t="shared" si="69"/>
        <v>31390455</v>
      </c>
      <c r="AR171" s="138">
        <f t="shared" si="70"/>
        <v>31363987.5</v>
      </c>
      <c r="AS171" s="138">
        <f t="shared" si="71"/>
        <v>31337520</v>
      </c>
      <c r="AT171" s="199">
        <f t="shared" si="72"/>
        <v>472444.88</v>
      </c>
      <c r="AU171" s="138">
        <f t="shared" si="73"/>
        <v>473408.14</v>
      </c>
      <c r="AV171" s="144">
        <f t="shared" si="55"/>
        <v>26467.5</v>
      </c>
      <c r="AW171" s="145">
        <f t="shared" si="74"/>
        <v>39450.68</v>
      </c>
      <c r="AX171" s="203">
        <f t="shared" si="56"/>
        <v>26467.5</v>
      </c>
      <c r="AY171" s="199"/>
      <c r="AZ171" s="199"/>
      <c r="BA171" s="147"/>
      <c r="BB171" s="148"/>
    </row>
    <row r="172" spans="1:54" x14ac:dyDescent="0.25">
      <c r="AV172" s="206">
        <f>SUM(AV2:AV171)</f>
        <v>2551401.3599999989</v>
      </c>
      <c r="AX172" s="205"/>
    </row>
    <row r="1048576" spans="48:48" x14ac:dyDescent="0.25">
      <c r="AV1048576" s="204">
        <f>SUM(AV2:AV1048575)</f>
        <v>5102802.7199999979</v>
      </c>
    </row>
  </sheetData>
  <mergeCells count="2">
    <mergeCell ref="AZ84:AZ85"/>
    <mergeCell ref="BA84:BA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2026 июль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Нурила Балабекова</dc:creator>
  <cp:lastModifiedBy>Нурила Балабекова</cp:lastModifiedBy>
  <dcterms:created xsi:type="dcterms:W3CDTF">2026-09-21T04:25:09Z</dcterms:created>
  <dcterms:modified xsi:type="dcterms:W3CDTF">2026-09-21T04:44:41Z</dcterms:modified>
</cp:coreProperties>
</file>