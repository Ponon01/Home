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411A8C22-53CD-47C0-8DE6-52EC5F96B9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Свод по ЖК каз" sheetId="4" r:id="rId1"/>
    <sheet name="Свод по ЖК русс" sheetId="2" r:id="rId2"/>
  </sheets>
  <definedNames>
    <definedName name="_xlnm.Print_Area" localSheetId="0">'Свод по ЖК каз'!$A$4:$R$26</definedName>
    <definedName name="_xlnm.Print_Area" localSheetId="1">'Свод по ЖК русс'!$A$5:$R$27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2" l="1"/>
  <c r="R22" i="4"/>
  <c r="N22" i="4"/>
  <c r="M22" i="4"/>
  <c r="L22" i="4"/>
  <c r="K22" i="4"/>
  <c r="J22" i="4"/>
  <c r="I22" i="4"/>
  <c r="H22" i="4"/>
  <c r="G22" i="4"/>
  <c r="D22" i="4"/>
  <c r="D23" i="4" s="1"/>
  <c r="C22" i="4"/>
  <c r="O21" i="4"/>
  <c r="P21" i="4" s="1"/>
  <c r="Q21" i="4" s="1"/>
  <c r="O20" i="4"/>
  <c r="P20" i="4" s="1"/>
  <c r="Q20" i="4" s="1"/>
  <c r="O19" i="4"/>
  <c r="P19" i="4" s="1"/>
  <c r="Q19" i="4" s="1"/>
  <c r="E19" i="4"/>
  <c r="O18" i="4"/>
  <c r="P18" i="4" s="1"/>
  <c r="Q18" i="4" s="1"/>
  <c r="E18" i="4"/>
  <c r="O17" i="4"/>
  <c r="P17" i="4" s="1"/>
  <c r="Q17" i="4" s="1"/>
  <c r="O16" i="4"/>
  <c r="P16" i="4" s="1"/>
  <c r="Q16" i="4" s="1"/>
  <c r="E16" i="4"/>
  <c r="O15" i="4"/>
  <c r="P15" i="4" s="1"/>
  <c r="Q15" i="4" s="1"/>
  <c r="E15" i="4"/>
  <c r="O14" i="4"/>
  <c r="P14" i="4" s="1"/>
  <c r="Q14" i="4" s="1"/>
  <c r="E14" i="4"/>
  <c r="O13" i="4"/>
  <c r="P13" i="4" s="1"/>
  <c r="Q13" i="4" s="1"/>
  <c r="E13" i="4"/>
  <c r="O12" i="4"/>
  <c r="P12" i="4" s="1"/>
  <c r="Q12" i="4" s="1"/>
  <c r="E12" i="4"/>
  <c r="P11" i="4"/>
  <c r="Q11" i="4" s="1"/>
  <c r="O11" i="4"/>
  <c r="E11" i="4"/>
  <c r="O10" i="4"/>
  <c r="P10" i="4" s="1"/>
  <c r="Q10" i="4" s="1"/>
  <c r="E10" i="4"/>
  <c r="P9" i="4"/>
  <c r="Q9" i="4" s="1"/>
  <c r="O9" i="4"/>
  <c r="E9" i="4"/>
  <c r="O8" i="4"/>
  <c r="P8" i="4" s="1"/>
  <c r="Q8" i="4" s="1"/>
  <c r="E8" i="4"/>
  <c r="O7" i="4"/>
  <c r="P7" i="4" s="1"/>
  <c r="E7" i="4"/>
  <c r="E22" i="4" l="1"/>
  <c r="P22" i="4"/>
  <c r="Q22" i="4" s="1"/>
  <c r="Q7" i="4"/>
  <c r="O22" i="4"/>
  <c r="M23" i="2"/>
  <c r="N23" i="2"/>
  <c r="D23" i="2"/>
  <c r="C23" i="2"/>
  <c r="G23" i="2"/>
  <c r="H23" i="2"/>
  <c r="I23" i="2"/>
  <c r="J23" i="2"/>
  <c r="K23" i="2"/>
  <c r="L23" i="2"/>
  <c r="O8" i="2"/>
  <c r="P8" i="2" s="1"/>
  <c r="Q8" i="2" s="1"/>
  <c r="O9" i="2"/>
  <c r="P9" i="2" s="1"/>
  <c r="Q9" i="2" s="1"/>
  <c r="O19" i="2"/>
  <c r="O18" i="2"/>
  <c r="O17" i="2"/>
  <c r="O16" i="2"/>
  <c r="O20" i="2"/>
  <c r="O21" i="2"/>
  <c r="P21" i="2" s="1"/>
  <c r="Q21" i="2" s="1"/>
  <c r="O22" i="2"/>
  <c r="P22" i="2" s="1"/>
  <c r="Q22" i="2" s="1"/>
  <c r="O15" i="2"/>
  <c r="O23" i="2" s="1"/>
  <c r="O13" i="2" l="1"/>
  <c r="P17" i="2" l="1"/>
  <c r="Q17" i="2" s="1"/>
  <c r="R23" i="2" l="1"/>
  <c r="D24" i="2"/>
  <c r="P20" i="2"/>
  <c r="Q20" i="2" s="1"/>
  <c r="E20" i="2"/>
  <c r="P19" i="2"/>
  <c r="Q19" i="2" s="1"/>
  <c r="E19" i="2"/>
  <c r="P18" i="2"/>
  <c r="Q18" i="2" s="1"/>
  <c r="E17" i="2"/>
  <c r="P16" i="2"/>
  <c r="Q16" i="2" s="1"/>
  <c r="E16" i="2"/>
  <c r="Q15" i="2"/>
  <c r="E15" i="2"/>
  <c r="O14" i="2"/>
  <c r="P14" i="2" s="1"/>
  <c r="Q14" i="2" s="1"/>
  <c r="E14" i="2"/>
  <c r="P13" i="2"/>
  <c r="Q13" i="2" s="1"/>
  <c r="E13" i="2"/>
  <c r="O12" i="2"/>
  <c r="P12" i="2" s="1"/>
  <c r="Q12" i="2" s="1"/>
  <c r="E12" i="2"/>
  <c r="O11" i="2"/>
  <c r="P11" i="2" s="1"/>
  <c r="Q11" i="2" s="1"/>
  <c r="E11" i="2"/>
  <c r="O10" i="2"/>
  <c r="E10" i="2"/>
  <c r="E9" i="2"/>
  <c r="E8" i="2"/>
  <c r="E23" i="2" l="1"/>
  <c r="P10" i="2"/>
  <c r="Q10" i="2" s="1"/>
  <c r="P23" i="2" l="1"/>
  <c r="Q23" i="2" s="1"/>
</calcChain>
</file>

<file path=xl/sharedStrings.xml><?xml version="1.0" encoding="utf-8"?>
<sst xmlns="http://schemas.openxmlformats.org/spreadsheetml/2006/main" count="91" uniqueCount="89">
  <si>
    <t>Адрес</t>
  </si>
  <si>
    <t>Наименование ЖК</t>
  </si>
  <si>
    <t>Итого</t>
  </si>
  <si>
    <t>Количество</t>
  </si>
  <si>
    <t>из них</t>
  </si>
  <si>
    <t>Год передачи</t>
  </si>
  <si>
    <t>Количество реализованных квартир по годам</t>
  </si>
  <si>
    <t>Всего осталось квартир</t>
  </si>
  <si>
    <t>не подлежат реализации</t>
  </si>
  <si>
    <t>к реализации</t>
  </si>
  <si>
    <t>в аренде</t>
  </si>
  <si>
    <t>гостевые</t>
  </si>
  <si>
    <t>Жилой комплекс Лазурный квартал</t>
  </si>
  <si>
    <t>Жилой комплекс Сармат</t>
  </si>
  <si>
    <t>Жилой комплекс Зерде</t>
  </si>
  <si>
    <t>Жилой комплекс Москва</t>
  </si>
  <si>
    <t>Жилой комплекс Виктория</t>
  </si>
  <si>
    <t>Жилой комплекс Жагалау-3</t>
  </si>
  <si>
    <t>Жилой комплекс НУР-САЯ</t>
  </si>
  <si>
    <t>Жилой комплекс Общежитие</t>
  </si>
  <si>
    <t>Жилой комплекс Сапа-2007</t>
  </si>
  <si>
    <t>Жилой комплекс Хан-тенгри</t>
  </si>
  <si>
    <t>Жилой комплекс Акку</t>
  </si>
  <si>
    <t>Жилой комплекс по улице К.Азирбаева</t>
  </si>
  <si>
    <t>Жилой комплекс Браво</t>
  </si>
  <si>
    <t>ИТОГО</t>
  </si>
  <si>
    <t>Жилой комплекс Compass North</t>
  </si>
  <si>
    <t>Жилой комплекс Respublika</t>
  </si>
  <si>
    <t>Улица Сарайшык 5</t>
  </si>
  <si>
    <t>Улица Сауран 3/1</t>
  </si>
  <si>
    <t>Проспект Шакарим Кудайбердыулы 4</t>
  </si>
  <si>
    <t>Проспект Бауыржан Момышулы 2</t>
  </si>
  <si>
    <t>Улица Чингиз Айтматов 36</t>
  </si>
  <si>
    <t>Прспект Республика 81</t>
  </si>
  <si>
    <t>Улица Е 36 дом 5</t>
  </si>
  <si>
    <t>Улица Күлтегін 5</t>
  </si>
  <si>
    <t>Улица Сембинова 7</t>
  </si>
  <si>
    <t>Улица Иманова 17</t>
  </si>
  <si>
    <t>Улица Достық 13/2</t>
  </si>
  <si>
    <t>Улица Шаймерден Косшыгулулы 7</t>
  </si>
  <si>
    <t>Улица Кенен Азирбаева 6/2</t>
  </si>
  <si>
    <t>Улица Шәмші Қалдаяқова 17</t>
  </si>
  <si>
    <t>Улица Шәмші Қалдаяқова 58/1</t>
  </si>
  <si>
    <t>Актуально на 04.08.2026</t>
  </si>
  <si>
    <t>ТК атауы</t>
  </si>
  <si>
    <t>Мекенжайы</t>
  </si>
  <si>
    <t>Саны</t>
  </si>
  <si>
    <t>«Лазурный квартал» тұрғын үй кешені</t>
  </si>
  <si>
    <t>«Сармат» тұрғын үй кешені</t>
  </si>
  <si>
    <t>«Зерде» тұрғын үй кешені</t>
  </si>
  <si>
    <t>«Москва» тұрғын үй кешені</t>
  </si>
  <si>
    <t>«Виктория» тұрғын үй кешені</t>
  </si>
  <si>
    <t>«Жағалау-3» тұрғын үй кешені</t>
  </si>
  <si>
    <t>«НҰР-САЯ» тұрғын үй кешені</t>
  </si>
  <si>
    <t>Жатақхана</t>
  </si>
  <si>
    <t>«Сапа-2007» тұрғын үй кешені</t>
  </si>
  <si>
    <t>«Хан-Тәңірі» тұрғын үй кешені</t>
  </si>
  <si>
    <t>«Аққу» тұрғын үй кешені</t>
  </si>
  <si>
    <t>К.Әзірбаев көшесіндегі тұрғын үй кешені</t>
  </si>
  <si>
    <t>«Браво» тұрғын үй кешені</t>
  </si>
  <si>
    <t>«Compass North» тұрғын үй кешені</t>
  </si>
  <si>
    <t>«Respublika» тұрғын үй кешені</t>
  </si>
  <si>
    <t>Сарайшық көшесі, 5</t>
  </si>
  <si>
    <t>Сауран көшесі, 3/1</t>
  </si>
  <si>
    <t>Шәкәрім Құдайбердіұлы даңғылы, 4</t>
  </si>
  <si>
    <t>Иманов көшесі, 17</t>
  </si>
  <si>
    <t>Бауыржан Момышұлы даңғылы, 2</t>
  </si>
  <si>
    <t>Шыңғыс Айтматов көшесі, 36</t>
  </si>
  <si>
    <t>Достық көшесі, 13/2</t>
  </si>
  <si>
    <t>Республика даңғылы, 81</t>
  </si>
  <si>
    <t>Шаймерден Қосшығұлұлы көшесі, 7</t>
  </si>
  <si>
    <t>Сембинов көшесі, 7</t>
  </si>
  <si>
    <t>Күлтегін көшесі, 5</t>
  </si>
  <si>
    <t>Кенен Әзірбаев көшесі, 6/2</t>
  </si>
  <si>
    <t>Шәмші Қалдаяқов көшесі, 17</t>
  </si>
  <si>
    <t>Шәмші Қалдаяқов көшесі, 58/1</t>
  </si>
  <si>
    <t>Е 36 көшесі, 5 үй</t>
  </si>
  <si>
    <t>оның ішінде</t>
  </si>
  <si>
    <t>Берілген жылы</t>
  </si>
  <si>
    <t>Жылдар бойынша өткізілген (іске асырылған) пәтерлер саны</t>
  </si>
  <si>
    <t>Жиынтығы</t>
  </si>
  <si>
    <t>Барлығы қалған пәтерлер</t>
  </si>
  <si>
    <t>жалға берілген</t>
  </si>
  <si>
    <t>қонақ пәтерлері</t>
  </si>
  <si>
    <t>ЖИЫНТЫҒЫ</t>
  </si>
  <si>
    <t>«Астана Опера» мемлекеттік опера және балет театры» коммерциялық емес акционерлік қоғамының 2013–2026 жылдардағы тұрғын үй қоры туралы мәліметтер</t>
  </si>
  <si>
    <t>сатылымға жатпайтыны</t>
  </si>
  <si>
    <t>сатылымға жататыны</t>
  </si>
  <si>
    <t>Сведения о квартирном фонде Некоммерческого акционерного общества «Государственный театр оперы и балета «Астана Oпера» за 2013–2026 годы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</si>
</sst>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2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0" xfId="0" applyFont="1" applyFill="1"/>
    <xf numFmtId="0" fontId="5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zoomScale="124" zoomScaleNormal="124" workbookViewId="0">
      <selection sqref="A1:R4"/>
    </sheetView>
  </sheetViews>
  <sheetFormatPr defaultRowHeight="15" x14ac:dyDescent="0.25"/>
  <cols>
    <col min="1" max="1" width="37" style="2" bestFit="1" customWidth="1"/>
    <col min="2" max="2" width="37" style="2" customWidth="1"/>
    <col min="3" max="5" width="13.28515625" style="1" customWidth="1"/>
    <col min="6" max="6" width="11" style="1" customWidth="1"/>
    <col min="7" max="10" width="6.28515625" style="1" bestFit="1" customWidth="1"/>
    <col min="11" max="14" width="6.28515625" style="1" customWidth="1"/>
    <col min="15" max="15" width="7.140625" style="1" bestFit="1" customWidth="1"/>
    <col min="16" max="18" width="10.5703125" style="1" customWidth="1"/>
    <col min="19" max="16384" width="9.140625" style="2"/>
  </cols>
  <sheetData>
    <row r="1" spans="1:19" x14ac:dyDescent="0.25">
      <c r="A1" s="17" t="s">
        <v>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9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9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9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9" x14ac:dyDescent="0.25">
      <c r="A5" s="14" t="s">
        <v>44</v>
      </c>
      <c r="B5" s="20" t="s">
        <v>45</v>
      </c>
      <c r="C5" s="14" t="s">
        <v>46</v>
      </c>
      <c r="D5" s="15" t="s">
        <v>77</v>
      </c>
      <c r="E5" s="22"/>
      <c r="F5" s="14" t="s">
        <v>78</v>
      </c>
      <c r="G5" s="13" t="s">
        <v>79</v>
      </c>
      <c r="H5" s="13"/>
      <c r="I5" s="13"/>
      <c r="J5" s="13"/>
      <c r="K5" s="13"/>
      <c r="L5" s="13"/>
      <c r="M5" s="13"/>
      <c r="N5" s="13"/>
      <c r="O5" s="13"/>
      <c r="P5" s="14" t="s">
        <v>81</v>
      </c>
      <c r="Q5" s="15" t="s">
        <v>77</v>
      </c>
      <c r="R5" s="16"/>
    </row>
    <row r="6" spans="1:19" ht="42.75" x14ac:dyDescent="0.25">
      <c r="A6" s="14"/>
      <c r="B6" s="21"/>
      <c r="C6" s="14"/>
      <c r="D6" s="3" t="s">
        <v>86</v>
      </c>
      <c r="E6" s="3" t="s">
        <v>87</v>
      </c>
      <c r="F6" s="14"/>
      <c r="G6" s="3">
        <v>2019</v>
      </c>
      <c r="H6" s="3">
        <v>2020</v>
      </c>
      <c r="I6" s="3">
        <v>2021</v>
      </c>
      <c r="J6" s="3">
        <v>2022</v>
      </c>
      <c r="K6" s="3">
        <v>2023</v>
      </c>
      <c r="L6" s="3">
        <v>2024</v>
      </c>
      <c r="M6" s="3">
        <v>2025</v>
      </c>
      <c r="N6" s="3">
        <v>2026</v>
      </c>
      <c r="O6" s="3" t="s">
        <v>80</v>
      </c>
      <c r="P6" s="14"/>
      <c r="Q6" s="3" t="s">
        <v>82</v>
      </c>
      <c r="R6" s="3" t="s">
        <v>83</v>
      </c>
    </row>
    <row r="7" spans="1:19" x14ac:dyDescent="0.25">
      <c r="A7" s="12" t="s">
        <v>47</v>
      </c>
      <c r="B7" s="12" t="s">
        <v>62</v>
      </c>
      <c r="C7" s="6">
        <v>22</v>
      </c>
      <c r="D7" s="5">
        <v>7</v>
      </c>
      <c r="E7" s="5">
        <f>+C7-D7</f>
        <v>15</v>
      </c>
      <c r="F7" s="5">
        <v>2013</v>
      </c>
      <c r="G7" s="5"/>
      <c r="H7" s="5">
        <v>1</v>
      </c>
      <c r="I7" s="5">
        <v>2</v>
      </c>
      <c r="J7" s="6">
        <v>3</v>
      </c>
      <c r="K7" s="5">
        <v>1</v>
      </c>
      <c r="L7" s="5"/>
      <c r="M7" s="5">
        <v>2</v>
      </c>
      <c r="N7" s="5"/>
      <c r="O7" s="7">
        <f>SUM(G7:N7)</f>
        <v>9</v>
      </c>
      <c r="P7" s="8">
        <f>C7-O7</f>
        <v>13</v>
      </c>
      <c r="Q7" s="8">
        <f>P7-R7</f>
        <v>6</v>
      </c>
      <c r="R7" s="8">
        <v>7</v>
      </c>
    </row>
    <row r="8" spans="1:19" x14ac:dyDescent="0.25">
      <c r="A8" s="12" t="s">
        <v>48</v>
      </c>
      <c r="B8" s="12" t="s">
        <v>63</v>
      </c>
      <c r="C8" s="6">
        <v>18</v>
      </c>
      <c r="D8" s="5"/>
      <c r="E8" s="5">
        <f t="shared" ref="E8:E19" si="0">+C8-D8</f>
        <v>18</v>
      </c>
      <c r="F8" s="5">
        <v>2013</v>
      </c>
      <c r="G8" s="5"/>
      <c r="H8" s="5"/>
      <c r="I8" s="5">
        <v>3</v>
      </c>
      <c r="J8" s="6">
        <v>2</v>
      </c>
      <c r="K8" s="5">
        <v>1</v>
      </c>
      <c r="L8" s="5">
        <v>2</v>
      </c>
      <c r="M8" s="5">
        <v>5</v>
      </c>
      <c r="N8" s="5">
        <v>1</v>
      </c>
      <c r="O8" s="7">
        <f>SUM(G8:N8)</f>
        <v>14</v>
      </c>
      <c r="P8" s="8">
        <f>C8-O8</f>
        <v>4</v>
      </c>
      <c r="Q8" s="8">
        <f t="shared" ref="Q8:Q22" si="1">P8-R8</f>
        <v>4</v>
      </c>
      <c r="R8" s="8"/>
    </row>
    <row r="9" spans="1:19" x14ac:dyDescent="0.25">
      <c r="A9" s="12" t="s">
        <v>49</v>
      </c>
      <c r="B9" s="12" t="s">
        <v>64</v>
      </c>
      <c r="C9" s="6">
        <v>10</v>
      </c>
      <c r="D9" s="5"/>
      <c r="E9" s="5">
        <f t="shared" si="0"/>
        <v>10</v>
      </c>
      <c r="F9" s="5">
        <v>2013</v>
      </c>
      <c r="G9" s="5"/>
      <c r="H9" s="5"/>
      <c r="I9" s="5">
        <v>3</v>
      </c>
      <c r="J9" s="6">
        <v>2</v>
      </c>
      <c r="K9" s="5"/>
      <c r="L9" s="5">
        <v>1</v>
      </c>
      <c r="M9" s="5"/>
      <c r="N9" s="5"/>
      <c r="O9" s="7">
        <f t="shared" ref="O9:O13" si="2">SUM(G9:L9)</f>
        <v>6</v>
      </c>
      <c r="P9" s="8">
        <f>C9-O9</f>
        <v>4</v>
      </c>
      <c r="Q9" s="8">
        <f t="shared" si="1"/>
        <v>4</v>
      </c>
      <c r="R9" s="8"/>
    </row>
    <row r="10" spans="1:19" x14ac:dyDescent="0.25">
      <c r="A10" s="12" t="s">
        <v>50</v>
      </c>
      <c r="B10" s="12" t="s">
        <v>65</v>
      </c>
      <c r="C10" s="6">
        <v>1</v>
      </c>
      <c r="D10" s="5"/>
      <c r="E10" s="5">
        <f t="shared" si="0"/>
        <v>1</v>
      </c>
      <c r="F10" s="5">
        <v>2018</v>
      </c>
      <c r="G10" s="5">
        <v>1</v>
      </c>
      <c r="H10" s="5"/>
      <c r="I10" s="5"/>
      <c r="J10" s="6"/>
      <c r="K10" s="5"/>
      <c r="L10" s="5"/>
      <c r="M10" s="5"/>
      <c r="N10" s="5"/>
      <c r="O10" s="7">
        <f t="shared" si="2"/>
        <v>1</v>
      </c>
      <c r="P10" s="8">
        <f t="shared" ref="P10:P21" si="3">C10-O10</f>
        <v>0</v>
      </c>
      <c r="Q10" s="8">
        <f t="shared" si="1"/>
        <v>0</v>
      </c>
      <c r="R10" s="8"/>
    </row>
    <row r="11" spans="1:19" x14ac:dyDescent="0.25">
      <c r="A11" s="12" t="s">
        <v>51</v>
      </c>
      <c r="B11" s="12" t="s">
        <v>66</v>
      </c>
      <c r="C11" s="6">
        <v>12</v>
      </c>
      <c r="D11" s="5"/>
      <c r="E11" s="5">
        <f t="shared" si="0"/>
        <v>12</v>
      </c>
      <c r="F11" s="5">
        <v>2018</v>
      </c>
      <c r="G11" s="5"/>
      <c r="H11" s="5"/>
      <c r="I11" s="5">
        <v>3</v>
      </c>
      <c r="J11" s="6">
        <v>3</v>
      </c>
      <c r="K11" s="5">
        <v>1</v>
      </c>
      <c r="L11" s="5">
        <v>1</v>
      </c>
      <c r="M11" s="5"/>
      <c r="N11" s="5"/>
      <c r="O11" s="7">
        <f t="shared" si="2"/>
        <v>8</v>
      </c>
      <c r="P11" s="8">
        <f t="shared" si="3"/>
        <v>4</v>
      </c>
      <c r="Q11" s="8">
        <f t="shared" si="1"/>
        <v>4</v>
      </c>
      <c r="R11" s="8"/>
    </row>
    <row r="12" spans="1:19" x14ac:dyDescent="0.25">
      <c r="A12" s="12" t="s">
        <v>52</v>
      </c>
      <c r="B12" s="12" t="s">
        <v>67</v>
      </c>
      <c r="C12" s="6">
        <v>28</v>
      </c>
      <c r="D12" s="5">
        <v>2</v>
      </c>
      <c r="E12" s="5">
        <f t="shared" si="0"/>
        <v>26</v>
      </c>
      <c r="F12" s="5">
        <v>2018</v>
      </c>
      <c r="G12" s="5"/>
      <c r="H12" s="5">
        <v>4</v>
      </c>
      <c r="I12" s="5">
        <v>9</v>
      </c>
      <c r="J12" s="6">
        <v>3</v>
      </c>
      <c r="K12" s="5">
        <v>2</v>
      </c>
      <c r="L12" s="5">
        <v>1</v>
      </c>
      <c r="M12" s="5"/>
      <c r="N12" s="5">
        <v>1</v>
      </c>
      <c r="O12" s="7">
        <f>SUM(G12:N12)</f>
        <v>20</v>
      </c>
      <c r="P12" s="8">
        <f t="shared" si="3"/>
        <v>8</v>
      </c>
      <c r="Q12" s="8">
        <f t="shared" si="1"/>
        <v>8</v>
      </c>
      <c r="R12" s="8"/>
    </row>
    <row r="13" spans="1:19" x14ac:dyDescent="0.25">
      <c r="A13" s="12" t="s">
        <v>53</v>
      </c>
      <c r="B13" s="12" t="s">
        <v>68</v>
      </c>
      <c r="C13" s="6">
        <v>10</v>
      </c>
      <c r="D13" s="5"/>
      <c r="E13" s="5">
        <f t="shared" si="0"/>
        <v>10</v>
      </c>
      <c r="F13" s="5">
        <v>2018</v>
      </c>
      <c r="G13" s="5">
        <v>8</v>
      </c>
      <c r="H13" s="5">
        <v>1</v>
      </c>
      <c r="I13" s="5"/>
      <c r="J13" s="6">
        <v>1</v>
      </c>
      <c r="K13" s="5"/>
      <c r="L13" s="5"/>
      <c r="M13" s="5"/>
      <c r="N13" s="5"/>
      <c r="O13" s="7">
        <f t="shared" si="2"/>
        <v>10</v>
      </c>
      <c r="P13" s="8">
        <f t="shared" si="3"/>
        <v>0</v>
      </c>
      <c r="Q13" s="8">
        <f t="shared" si="1"/>
        <v>0</v>
      </c>
      <c r="R13" s="8"/>
    </row>
    <row r="14" spans="1:19" x14ac:dyDescent="0.25">
      <c r="A14" s="12" t="s">
        <v>54</v>
      </c>
      <c r="B14" s="12" t="s">
        <v>69</v>
      </c>
      <c r="C14" s="6">
        <v>53</v>
      </c>
      <c r="D14" s="5">
        <v>4</v>
      </c>
      <c r="E14" s="5">
        <f t="shared" si="0"/>
        <v>49</v>
      </c>
      <c r="F14" s="5">
        <v>2018</v>
      </c>
      <c r="G14" s="5"/>
      <c r="H14" s="5"/>
      <c r="I14" s="5">
        <v>4</v>
      </c>
      <c r="J14" s="6">
        <v>1</v>
      </c>
      <c r="K14" s="5">
        <v>2</v>
      </c>
      <c r="L14" s="5"/>
      <c r="M14" s="5"/>
      <c r="N14" s="5"/>
      <c r="O14" s="7">
        <f>SUM(G14:N14)</f>
        <v>7</v>
      </c>
      <c r="P14" s="8">
        <f t="shared" si="3"/>
        <v>46</v>
      </c>
      <c r="Q14" s="8">
        <f t="shared" si="1"/>
        <v>46</v>
      </c>
      <c r="R14" s="8"/>
      <c r="S14" s="9"/>
    </row>
    <row r="15" spans="1:19" x14ac:dyDescent="0.25">
      <c r="A15" s="12" t="s">
        <v>55</v>
      </c>
      <c r="B15" s="12" t="s">
        <v>70</v>
      </c>
      <c r="C15" s="6">
        <v>25</v>
      </c>
      <c r="D15" s="5">
        <v>7</v>
      </c>
      <c r="E15" s="5">
        <f t="shared" si="0"/>
        <v>18</v>
      </c>
      <c r="F15" s="5">
        <v>2018</v>
      </c>
      <c r="G15" s="5"/>
      <c r="H15" s="5"/>
      <c r="I15" s="5">
        <v>8</v>
      </c>
      <c r="J15" s="6">
        <v>3</v>
      </c>
      <c r="K15" s="5">
        <v>1</v>
      </c>
      <c r="L15" s="5">
        <v>0</v>
      </c>
      <c r="M15" s="5">
        <v>2</v>
      </c>
      <c r="N15" s="5">
        <v>1</v>
      </c>
      <c r="O15" s="7">
        <f>SUM(G15:N15)</f>
        <v>15</v>
      </c>
      <c r="P15" s="8">
        <f t="shared" si="3"/>
        <v>10</v>
      </c>
      <c r="Q15" s="8">
        <f t="shared" si="1"/>
        <v>10</v>
      </c>
      <c r="R15" s="8"/>
    </row>
    <row r="16" spans="1:19" x14ac:dyDescent="0.25">
      <c r="A16" s="12" t="s">
        <v>56</v>
      </c>
      <c r="B16" s="12" t="s">
        <v>71</v>
      </c>
      <c r="C16" s="6">
        <v>11</v>
      </c>
      <c r="D16" s="5"/>
      <c r="E16" s="5">
        <f t="shared" si="0"/>
        <v>11</v>
      </c>
      <c r="F16" s="5">
        <v>2018</v>
      </c>
      <c r="G16" s="5">
        <v>2</v>
      </c>
      <c r="H16" s="5">
        <v>1</v>
      </c>
      <c r="I16" s="5">
        <v>3</v>
      </c>
      <c r="J16" s="6"/>
      <c r="K16" s="5">
        <v>2</v>
      </c>
      <c r="L16" s="5">
        <v>1</v>
      </c>
      <c r="M16" s="5">
        <v>1</v>
      </c>
      <c r="N16" s="5"/>
      <c r="O16" s="7">
        <f>SUM(G16:N16)</f>
        <v>10</v>
      </c>
      <c r="P16" s="8">
        <f>C16-O16</f>
        <v>1</v>
      </c>
      <c r="Q16" s="8">
        <f t="shared" si="1"/>
        <v>1</v>
      </c>
      <c r="R16" s="8"/>
    </row>
    <row r="17" spans="1:18" x14ac:dyDescent="0.25">
      <c r="A17" s="12" t="s">
        <v>57</v>
      </c>
      <c r="B17" s="12" t="s">
        <v>72</v>
      </c>
      <c r="C17" s="6">
        <v>20</v>
      </c>
      <c r="D17" s="5">
        <v>9</v>
      </c>
      <c r="E17" s="5">
        <v>10</v>
      </c>
      <c r="F17" s="5">
        <v>2021</v>
      </c>
      <c r="G17" s="5"/>
      <c r="H17" s="5"/>
      <c r="I17" s="5"/>
      <c r="J17" s="6">
        <v>2</v>
      </c>
      <c r="K17" s="5">
        <v>1</v>
      </c>
      <c r="L17" s="5"/>
      <c r="M17" s="5">
        <v>1</v>
      </c>
      <c r="N17" s="5">
        <v>1</v>
      </c>
      <c r="O17" s="7">
        <f>SUM(G17:N17)</f>
        <v>5</v>
      </c>
      <c r="P17" s="8">
        <f t="shared" si="3"/>
        <v>15</v>
      </c>
      <c r="Q17" s="8">
        <f t="shared" si="1"/>
        <v>15</v>
      </c>
      <c r="R17" s="8"/>
    </row>
    <row r="18" spans="1:18" x14ac:dyDescent="0.25">
      <c r="A18" s="12" t="s">
        <v>58</v>
      </c>
      <c r="B18" s="12" t="s">
        <v>73</v>
      </c>
      <c r="C18" s="5">
        <v>10</v>
      </c>
      <c r="D18" s="5"/>
      <c r="E18" s="5">
        <f t="shared" si="0"/>
        <v>10</v>
      </c>
      <c r="F18" s="5">
        <v>2021</v>
      </c>
      <c r="G18" s="5"/>
      <c r="H18" s="5"/>
      <c r="I18" s="5"/>
      <c r="J18" s="6">
        <v>5</v>
      </c>
      <c r="K18" s="5"/>
      <c r="L18" s="5">
        <v>1</v>
      </c>
      <c r="M18" s="5"/>
      <c r="N18" s="5"/>
      <c r="O18" s="7">
        <f>SUM(G18:N18)</f>
        <v>6</v>
      </c>
      <c r="P18" s="8">
        <f t="shared" si="3"/>
        <v>4</v>
      </c>
      <c r="Q18" s="8">
        <f t="shared" si="1"/>
        <v>4</v>
      </c>
      <c r="R18" s="8"/>
    </row>
    <row r="19" spans="1:18" x14ac:dyDescent="0.25">
      <c r="A19" s="12" t="s">
        <v>59</v>
      </c>
      <c r="B19" s="12" t="s">
        <v>74</v>
      </c>
      <c r="C19" s="5">
        <v>2</v>
      </c>
      <c r="D19" s="5"/>
      <c r="E19" s="5">
        <f t="shared" si="0"/>
        <v>2</v>
      </c>
      <c r="F19" s="5">
        <v>2022</v>
      </c>
      <c r="G19" s="5"/>
      <c r="H19" s="5"/>
      <c r="I19" s="5"/>
      <c r="J19" s="5"/>
      <c r="K19" s="5"/>
      <c r="L19" s="5"/>
      <c r="M19" s="5"/>
      <c r="N19" s="5"/>
      <c r="O19" s="7">
        <f t="shared" ref="O19:O21" si="4">SUM(G19:N19)</f>
        <v>0</v>
      </c>
      <c r="P19" s="8">
        <f t="shared" si="3"/>
        <v>2</v>
      </c>
      <c r="Q19" s="8">
        <f t="shared" si="1"/>
        <v>2</v>
      </c>
      <c r="R19" s="8"/>
    </row>
    <row r="20" spans="1:18" x14ac:dyDescent="0.25">
      <c r="A20" s="12" t="s">
        <v>60</v>
      </c>
      <c r="B20" s="12" t="s">
        <v>75</v>
      </c>
      <c r="C20" s="5">
        <v>6</v>
      </c>
      <c r="D20" s="5">
        <v>6</v>
      </c>
      <c r="E20" s="5">
        <v>0</v>
      </c>
      <c r="F20" s="5">
        <v>2025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7">
        <f t="shared" si="4"/>
        <v>0</v>
      </c>
      <c r="P20" s="8">
        <f t="shared" si="3"/>
        <v>6</v>
      </c>
      <c r="Q20" s="8">
        <f t="shared" si="1"/>
        <v>6</v>
      </c>
      <c r="R20" s="8"/>
    </row>
    <row r="21" spans="1:18" x14ac:dyDescent="0.25">
      <c r="A21" s="12" t="s">
        <v>61</v>
      </c>
      <c r="B21" s="12" t="s">
        <v>76</v>
      </c>
      <c r="C21" s="5">
        <v>26</v>
      </c>
      <c r="D21" s="5">
        <v>26</v>
      </c>
      <c r="E21" s="5">
        <v>0</v>
      </c>
      <c r="F21" s="5">
        <v>2025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7">
        <f t="shared" si="4"/>
        <v>0</v>
      </c>
      <c r="P21" s="8">
        <f t="shared" si="3"/>
        <v>26</v>
      </c>
      <c r="Q21" s="8">
        <f t="shared" si="1"/>
        <v>26</v>
      </c>
      <c r="R21" s="8"/>
    </row>
    <row r="22" spans="1:18" x14ac:dyDescent="0.25">
      <c r="A22" s="10" t="s">
        <v>84</v>
      </c>
      <c r="B22" s="10"/>
      <c r="C22" s="3">
        <f>SUM(C7:C21)</f>
        <v>254</v>
      </c>
      <c r="D22" s="3">
        <f>SUM(D7:D21)</f>
        <v>61</v>
      </c>
      <c r="E22" s="3">
        <f>SUM(E7:E21)</f>
        <v>192</v>
      </c>
      <c r="F22" s="3"/>
      <c r="G22" s="3">
        <f t="shared" ref="G22:P22" si="5">SUM(G7:G21)</f>
        <v>11</v>
      </c>
      <c r="H22" s="3">
        <f t="shared" si="5"/>
        <v>7</v>
      </c>
      <c r="I22" s="3">
        <f t="shared" si="5"/>
        <v>35</v>
      </c>
      <c r="J22" s="3">
        <f t="shared" si="5"/>
        <v>25</v>
      </c>
      <c r="K22" s="3">
        <f t="shared" si="5"/>
        <v>11</v>
      </c>
      <c r="L22" s="3">
        <f t="shared" si="5"/>
        <v>7</v>
      </c>
      <c r="M22" s="3">
        <f t="shared" si="5"/>
        <v>11</v>
      </c>
      <c r="N22" s="3">
        <f t="shared" si="5"/>
        <v>4</v>
      </c>
      <c r="O22" s="3">
        <f t="shared" si="5"/>
        <v>111</v>
      </c>
      <c r="P22" s="3">
        <f t="shared" si="5"/>
        <v>143</v>
      </c>
      <c r="Q22" s="11">
        <f t="shared" si="1"/>
        <v>136</v>
      </c>
      <c r="R22" s="3">
        <f>SUM(R7:R18)</f>
        <v>7</v>
      </c>
    </row>
    <row r="23" spans="1:18" x14ac:dyDescent="0.25">
      <c r="D23" s="1">
        <f>D22-D7</f>
        <v>54</v>
      </c>
    </row>
    <row r="24" spans="1:18" x14ac:dyDescent="0.25">
      <c r="D24" s="1">
        <v>7</v>
      </c>
    </row>
  </sheetData>
  <mergeCells count="9">
    <mergeCell ref="G5:O5"/>
    <mergeCell ref="P5:P6"/>
    <mergeCell ref="Q5:R5"/>
    <mergeCell ref="A1:R4"/>
    <mergeCell ref="A5:A6"/>
    <mergeCell ref="B5:B6"/>
    <mergeCell ref="C5:C6"/>
    <mergeCell ref="D5:E5"/>
    <mergeCell ref="F5:F6"/>
  </mergeCells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abSelected="1" zoomScale="114" zoomScaleNormal="124" workbookViewId="0">
      <selection activeCell="A17" sqref="A17:XFD17"/>
    </sheetView>
  </sheetViews>
  <sheetFormatPr defaultRowHeight="15" x14ac:dyDescent="0.25"/>
  <cols>
    <col min="1" max="1" width="37" style="2" bestFit="1" customWidth="1"/>
    <col min="2" max="2" width="37" style="2" customWidth="1"/>
    <col min="3" max="5" width="13.28515625" style="1" customWidth="1"/>
    <col min="6" max="6" width="11" style="1" customWidth="1"/>
    <col min="7" max="10" width="6.28515625" style="1" bestFit="1" customWidth="1"/>
    <col min="11" max="14" width="6.28515625" style="1" customWidth="1"/>
    <col min="15" max="15" width="7.140625" style="1" bestFit="1" customWidth="1"/>
    <col min="16" max="18" width="10.5703125" style="1" customWidth="1"/>
    <col min="19" max="16384" width="9.140625" style="2"/>
  </cols>
  <sheetData>
    <row r="1" spans="1:19" x14ac:dyDescent="0.25">
      <c r="A1" s="17" t="s">
        <v>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9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9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9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9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9" x14ac:dyDescent="0.25">
      <c r="A6" s="14" t="s">
        <v>1</v>
      </c>
      <c r="B6" s="20" t="s">
        <v>0</v>
      </c>
      <c r="C6" s="14" t="s">
        <v>3</v>
      </c>
      <c r="D6" s="15" t="s">
        <v>4</v>
      </c>
      <c r="E6" s="22"/>
      <c r="F6" s="14" t="s">
        <v>5</v>
      </c>
      <c r="G6" s="13" t="s">
        <v>6</v>
      </c>
      <c r="H6" s="13"/>
      <c r="I6" s="13"/>
      <c r="J6" s="13"/>
      <c r="K6" s="13"/>
      <c r="L6" s="13"/>
      <c r="M6" s="13"/>
      <c r="N6" s="13"/>
      <c r="O6" s="13"/>
      <c r="P6" s="14" t="s">
        <v>7</v>
      </c>
      <c r="Q6" s="15" t="s">
        <v>4</v>
      </c>
      <c r="R6" s="16"/>
    </row>
    <row r="7" spans="1:19" ht="42.75" x14ac:dyDescent="0.25">
      <c r="A7" s="14"/>
      <c r="B7" s="21"/>
      <c r="C7" s="14"/>
      <c r="D7" s="3" t="s">
        <v>8</v>
      </c>
      <c r="E7" s="3" t="s">
        <v>9</v>
      </c>
      <c r="F7" s="14"/>
      <c r="G7" s="3">
        <v>2019</v>
      </c>
      <c r="H7" s="3">
        <v>2020</v>
      </c>
      <c r="I7" s="3">
        <v>2021</v>
      </c>
      <c r="J7" s="3">
        <v>2022</v>
      </c>
      <c r="K7" s="3">
        <v>2023</v>
      </c>
      <c r="L7" s="3">
        <v>2024</v>
      </c>
      <c r="M7" s="3">
        <v>2025</v>
      </c>
      <c r="N7" s="3">
        <v>2026</v>
      </c>
      <c r="O7" s="3" t="s">
        <v>2</v>
      </c>
      <c r="P7" s="14"/>
      <c r="Q7" s="3" t="s">
        <v>10</v>
      </c>
      <c r="R7" s="3" t="s">
        <v>11</v>
      </c>
    </row>
    <row r="8" spans="1:19" x14ac:dyDescent="0.25">
      <c r="A8" s="4" t="s">
        <v>12</v>
      </c>
      <c r="B8" s="4" t="s">
        <v>28</v>
      </c>
      <c r="C8" s="6">
        <v>22</v>
      </c>
      <c r="D8" s="5">
        <v>7</v>
      </c>
      <c r="E8" s="5">
        <f>+C8-D8</f>
        <v>15</v>
      </c>
      <c r="F8" s="5">
        <v>2013</v>
      </c>
      <c r="G8" s="5"/>
      <c r="H8" s="5">
        <v>1</v>
      </c>
      <c r="I8" s="5">
        <v>2</v>
      </c>
      <c r="J8" s="6">
        <v>3</v>
      </c>
      <c r="K8" s="5">
        <v>1</v>
      </c>
      <c r="L8" s="5"/>
      <c r="M8" s="5">
        <v>2</v>
      </c>
      <c r="N8" s="5"/>
      <c r="O8" s="7">
        <f>SUM(G8:N8)</f>
        <v>9</v>
      </c>
      <c r="P8" s="8">
        <f>C8-O8</f>
        <v>13</v>
      </c>
      <c r="Q8" s="8">
        <f>P8-R8</f>
        <v>6</v>
      </c>
      <c r="R8" s="8">
        <v>7</v>
      </c>
    </row>
    <row r="9" spans="1:19" x14ac:dyDescent="0.25">
      <c r="A9" s="4" t="s">
        <v>13</v>
      </c>
      <c r="B9" s="4" t="s">
        <v>29</v>
      </c>
      <c r="C9" s="6">
        <v>18</v>
      </c>
      <c r="D9" s="5"/>
      <c r="E9" s="5">
        <f t="shared" ref="E9:E20" si="0">+C9-D9</f>
        <v>18</v>
      </c>
      <c r="F9" s="5">
        <v>2013</v>
      </c>
      <c r="G9" s="5"/>
      <c r="H9" s="5"/>
      <c r="I9" s="5">
        <v>3</v>
      </c>
      <c r="J9" s="6">
        <v>2</v>
      </c>
      <c r="K9" s="5">
        <v>1</v>
      </c>
      <c r="L9" s="5">
        <v>2</v>
      </c>
      <c r="M9" s="5">
        <v>5</v>
      </c>
      <c r="N9" s="5">
        <v>1</v>
      </c>
      <c r="O9" s="7">
        <f>SUM(G9:N9)</f>
        <v>14</v>
      </c>
      <c r="P9" s="8">
        <f>C9-O9</f>
        <v>4</v>
      </c>
      <c r="Q9" s="8">
        <f t="shared" ref="Q9:Q23" si="1">P9-R9</f>
        <v>4</v>
      </c>
      <c r="R9" s="8"/>
    </row>
    <row r="10" spans="1:19" x14ac:dyDescent="0.25">
      <c r="A10" s="4" t="s">
        <v>14</v>
      </c>
      <c r="B10" s="4" t="s">
        <v>30</v>
      </c>
      <c r="C10" s="6">
        <v>10</v>
      </c>
      <c r="D10" s="5"/>
      <c r="E10" s="5">
        <f t="shared" si="0"/>
        <v>10</v>
      </c>
      <c r="F10" s="5">
        <v>2013</v>
      </c>
      <c r="G10" s="5"/>
      <c r="H10" s="5"/>
      <c r="I10" s="5">
        <v>3</v>
      </c>
      <c r="J10" s="6">
        <v>2</v>
      </c>
      <c r="K10" s="5"/>
      <c r="L10" s="5">
        <v>1</v>
      </c>
      <c r="M10" s="5"/>
      <c r="N10" s="5"/>
      <c r="O10" s="7">
        <f t="shared" ref="O10:O14" si="2">SUM(G10:L10)</f>
        <v>6</v>
      </c>
      <c r="P10" s="8">
        <f>C10-O10</f>
        <v>4</v>
      </c>
      <c r="Q10" s="8">
        <f t="shared" si="1"/>
        <v>4</v>
      </c>
      <c r="R10" s="8"/>
    </row>
    <row r="11" spans="1:19" x14ac:dyDescent="0.25">
      <c r="A11" s="4" t="s">
        <v>15</v>
      </c>
      <c r="B11" s="4" t="s">
        <v>37</v>
      </c>
      <c r="C11" s="6">
        <v>1</v>
      </c>
      <c r="D11" s="5"/>
      <c r="E11" s="5">
        <f t="shared" si="0"/>
        <v>1</v>
      </c>
      <c r="F11" s="5">
        <v>2018</v>
      </c>
      <c r="G11" s="5">
        <v>1</v>
      </c>
      <c r="H11" s="5"/>
      <c r="I11" s="5"/>
      <c r="J11" s="6"/>
      <c r="K11" s="5"/>
      <c r="L11" s="5"/>
      <c r="M11" s="5"/>
      <c r="N11" s="5"/>
      <c r="O11" s="7">
        <f t="shared" si="2"/>
        <v>1</v>
      </c>
      <c r="P11" s="8">
        <f t="shared" ref="P11:P22" si="3">C11-O11</f>
        <v>0</v>
      </c>
      <c r="Q11" s="8">
        <f t="shared" si="1"/>
        <v>0</v>
      </c>
      <c r="R11" s="8"/>
    </row>
    <row r="12" spans="1:19" x14ac:dyDescent="0.25">
      <c r="A12" s="4" t="s">
        <v>16</v>
      </c>
      <c r="B12" s="4" t="s">
        <v>31</v>
      </c>
      <c r="C12" s="6">
        <v>12</v>
      </c>
      <c r="D12" s="5"/>
      <c r="E12" s="5">
        <f t="shared" si="0"/>
        <v>12</v>
      </c>
      <c r="F12" s="5">
        <v>2018</v>
      </c>
      <c r="G12" s="5"/>
      <c r="H12" s="5"/>
      <c r="I12" s="5">
        <v>3</v>
      </c>
      <c r="J12" s="6">
        <v>3</v>
      </c>
      <c r="K12" s="5">
        <v>1</v>
      </c>
      <c r="L12" s="5">
        <v>1</v>
      </c>
      <c r="M12" s="5"/>
      <c r="N12" s="5"/>
      <c r="O12" s="7">
        <f t="shared" si="2"/>
        <v>8</v>
      </c>
      <c r="P12" s="8">
        <f t="shared" si="3"/>
        <v>4</v>
      </c>
      <c r="Q12" s="8">
        <f t="shared" si="1"/>
        <v>4</v>
      </c>
      <c r="R12" s="8"/>
    </row>
    <row r="13" spans="1:19" x14ac:dyDescent="0.25">
      <c r="A13" s="4" t="s">
        <v>17</v>
      </c>
      <c r="B13" s="4" t="s">
        <v>32</v>
      </c>
      <c r="C13" s="6">
        <v>28</v>
      </c>
      <c r="D13" s="5">
        <v>2</v>
      </c>
      <c r="E13" s="5">
        <f t="shared" si="0"/>
        <v>26</v>
      </c>
      <c r="F13" s="5">
        <v>2018</v>
      </c>
      <c r="G13" s="5"/>
      <c r="H13" s="5">
        <v>4</v>
      </c>
      <c r="I13" s="5">
        <v>9</v>
      </c>
      <c r="J13" s="6">
        <v>3</v>
      </c>
      <c r="K13" s="5">
        <v>2</v>
      </c>
      <c r="L13" s="5">
        <v>1</v>
      </c>
      <c r="M13" s="5"/>
      <c r="N13" s="5">
        <v>1</v>
      </c>
      <c r="O13" s="7">
        <f>SUM(G13:N13)</f>
        <v>20</v>
      </c>
      <c r="P13" s="8">
        <f t="shared" si="3"/>
        <v>8</v>
      </c>
      <c r="Q13" s="8">
        <f t="shared" si="1"/>
        <v>8</v>
      </c>
      <c r="R13" s="8"/>
    </row>
    <row r="14" spans="1:19" x14ac:dyDescent="0.25">
      <c r="A14" s="4" t="s">
        <v>18</v>
      </c>
      <c r="B14" s="4" t="s">
        <v>38</v>
      </c>
      <c r="C14" s="6">
        <v>10</v>
      </c>
      <c r="D14" s="5"/>
      <c r="E14" s="5">
        <f t="shared" si="0"/>
        <v>10</v>
      </c>
      <c r="F14" s="5">
        <v>2018</v>
      </c>
      <c r="G14" s="5">
        <v>8</v>
      </c>
      <c r="H14" s="5">
        <v>1</v>
      </c>
      <c r="I14" s="5"/>
      <c r="J14" s="6">
        <v>1</v>
      </c>
      <c r="K14" s="5"/>
      <c r="L14" s="5"/>
      <c r="M14" s="5"/>
      <c r="N14" s="5"/>
      <c r="O14" s="7">
        <f t="shared" si="2"/>
        <v>10</v>
      </c>
      <c r="P14" s="8">
        <f t="shared" si="3"/>
        <v>0</v>
      </c>
      <c r="Q14" s="8">
        <f t="shared" si="1"/>
        <v>0</v>
      </c>
      <c r="R14" s="8"/>
    </row>
    <row r="15" spans="1:19" x14ac:dyDescent="0.25">
      <c r="A15" s="4" t="s">
        <v>19</v>
      </c>
      <c r="B15" s="4" t="s">
        <v>33</v>
      </c>
      <c r="C15" s="6">
        <v>53</v>
      </c>
      <c r="D15" s="5">
        <v>4</v>
      </c>
      <c r="E15" s="5">
        <f t="shared" si="0"/>
        <v>49</v>
      </c>
      <c r="F15" s="5">
        <v>2018</v>
      </c>
      <c r="G15" s="5"/>
      <c r="H15" s="5"/>
      <c r="I15" s="5">
        <v>4</v>
      </c>
      <c r="J15" s="6">
        <v>1</v>
      </c>
      <c r="K15" s="5">
        <v>2</v>
      </c>
      <c r="L15" s="5"/>
      <c r="M15" s="5"/>
      <c r="N15" s="5">
        <v>1</v>
      </c>
      <c r="O15" s="7">
        <f>SUM(G15:N15)</f>
        <v>8</v>
      </c>
      <c r="P15" s="8">
        <f>C15-O15</f>
        <v>45</v>
      </c>
      <c r="Q15" s="8">
        <f t="shared" si="1"/>
        <v>45</v>
      </c>
      <c r="R15" s="8"/>
      <c r="S15" s="9"/>
    </row>
    <row r="16" spans="1:19" x14ac:dyDescent="0.25">
      <c r="A16" s="4" t="s">
        <v>20</v>
      </c>
      <c r="B16" s="4" t="s">
        <v>39</v>
      </c>
      <c r="C16" s="6">
        <v>25</v>
      </c>
      <c r="D16" s="5">
        <v>7</v>
      </c>
      <c r="E16" s="5">
        <f t="shared" si="0"/>
        <v>18</v>
      </c>
      <c r="F16" s="5">
        <v>2018</v>
      </c>
      <c r="G16" s="5"/>
      <c r="H16" s="5"/>
      <c r="I16" s="5">
        <v>8</v>
      </c>
      <c r="J16" s="6">
        <v>3</v>
      </c>
      <c r="K16" s="5">
        <v>1</v>
      </c>
      <c r="L16" s="5">
        <v>0</v>
      </c>
      <c r="M16" s="5">
        <v>2</v>
      </c>
      <c r="N16" s="5">
        <v>1</v>
      </c>
      <c r="O16" s="7">
        <f>SUM(G16:N16)</f>
        <v>15</v>
      </c>
      <c r="P16" s="8">
        <f t="shared" si="3"/>
        <v>10</v>
      </c>
      <c r="Q16" s="8">
        <f t="shared" si="1"/>
        <v>10</v>
      </c>
      <c r="R16" s="8"/>
    </row>
    <row r="17" spans="1:18" x14ac:dyDescent="0.25">
      <c r="A17" s="4" t="s">
        <v>21</v>
      </c>
      <c r="B17" s="4" t="s">
        <v>36</v>
      </c>
      <c r="C17" s="6">
        <v>11</v>
      </c>
      <c r="D17" s="5"/>
      <c r="E17" s="5">
        <f t="shared" si="0"/>
        <v>11</v>
      </c>
      <c r="F17" s="5">
        <v>2018</v>
      </c>
      <c r="G17" s="5">
        <v>2</v>
      </c>
      <c r="H17" s="5">
        <v>1</v>
      </c>
      <c r="I17" s="5">
        <v>3</v>
      </c>
      <c r="J17" s="6"/>
      <c r="K17" s="5">
        <v>2</v>
      </c>
      <c r="L17" s="5">
        <v>1</v>
      </c>
      <c r="M17" s="5">
        <v>1</v>
      </c>
      <c r="N17" s="5"/>
      <c r="O17" s="7">
        <f>SUM(G17:N17)</f>
        <v>10</v>
      </c>
      <c r="P17" s="8">
        <f>C17-O17</f>
        <v>1</v>
      </c>
      <c r="Q17" s="8">
        <f t="shared" si="1"/>
        <v>1</v>
      </c>
      <c r="R17" s="8"/>
    </row>
    <row r="18" spans="1:18" x14ac:dyDescent="0.25">
      <c r="A18" s="4" t="s">
        <v>22</v>
      </c>
      <c r="B18" s="4" t="s">
        <v>35</v>
      </c>
      <c r="C18" s="6">
        <v>20</v>
      </c>
      <c r="D18" s="5">
        <v>9</v>
      </c>
      <c r="E18" s="5">
        <v>10</v>
      </c>
      <c r="F18" s="5">
        <v>2021</v>
      </c>
      <c r="G18" s="5"/>
      <c r="H18" s="5"/>
      <c r="I18" s="5"/>
      <c r="J18" s="6">
        <v>2</v>
      </c>
      <c r="K18" s="5">
        <v>1</v>
      </c>
      <c r="L18" s="5"/>
      <c r="M18" s="5">
        <v>1</v>
      </c>
      <c r="N18" s="5">
        <v>1</v>
      </c>
      <c r="O18" s="7">
        <f>SUM(G18:N18)</f>
        <v>5</v>
      </c>
      <c r="P18" s="8">
        <f t="shared" si="3"/>
        <v>15</v>
      </c>
      <c r="Q18" s="8">
        <f t="shared" si="1"/>
        <v>15</v>
      </c>
      <c r="R18" s="8"/>
    </row>
    <row r="19" spans="1:18" x14ac:dyDescent="0.25">
      <c r="A19" s="4" t="s">
        <v>23</v>
      </c>
      <c r="B19" s="4" t="s">
        <v>40</v>
      </c>
      <c r="C19" s="5">
        <v>10</v>
      </c>
      <c r="D19" s="5"/>
      <c r="E19" s="5">
        <f t="shared" si="0"/>
        <v>10</v>
      </c>
      <c r="F19" s="5">
        <v>2021</v>
      </c>
      <c r="G19" s="5"/>
      <c r="H19" s="5"/>
      <c r="I19" s="5"/>
      <c r="J19" s="6">
        <v>5</v>
      </c>
      <c r="K19" s="5"/>
      <c r="L19" s="5">
        <v>1</v>
      </c>
      <c r="M19" s="5"/>
      <c r="N19" s="5"/>
      <c r="O19" s="7">
        <f>SUM(G19:N19)</f>
        <v>6</v>
      </c>
      <c r="P19" s="8">
        <f t="shared" si="3"/>
        <v>4</v>
      </c>
      <c r="Q19" s="8">
        <f t="shared" si="1"/>
        <v>4</v>
      </c>
      <c r="R19" s="8"/>
    </row>
    <row r="20" spans="1:18" x14ac:dyDescent="0.25">
      <c r="A20" s="4" t="s">
        <v>24</v>
      </c>
      <c r="B20" s="4" t="s">
        <v>41</v>
      </c>
      <c r="C20" s="5">
        <v>2</v>
      </c>
      <c r="D20" s="5"/>
      <c r="E20" s="5">
        <f t="shared" si="0"/>
        <v>2</v>
      </c>
      <c r="F20" s="5">
        <v>2022</v>
      </c>
      <c r="G20" s="5"/>
      <c r="H20" s="5"/>
      <c r="I20" s="5"/>
      <c r="J20" s="5"/>
      <c r="K20" s="5"/>
      <c r="L20" s="5"/>
      <c r="M20" s="5"/>
      <c r="N20" s="5"/>
      <c r="O20" s="7">
        <f t="shared" ref="O20:O22" si="4">SUM(G20:N20)</f>
        <v>0</v>
      </c>
      <c r="P20" s="8">
        <f t="shared" si="3"/>
        <v>2</v>
      </c>
      <c r="Q20" s="8">
        <f t="shared" si="1"/>
        <v>2</v>
      </c>
      <c r="R20" s="8"/>
    </row>
    <row r="21" spans="1:18" x14ac:dyDescent="0.25">
      <c r="A21" s="4" t="s">
        <v>26</v>
      </c>
      <c r="B21" s="4" t="s">
        <v>42</v>
      </c>
      <c r="C21" s="5">
        <v>6</v>
      </c>
      <c r="D21" s="5">
        <v>6</v>
      </c>
      <c r="E21" s="5">
        <v>0</v>
      </c>
      <c r="F21" s="5">
        <v>2025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7">
        <f t="shared" si="4"/>
        <v>0</v>
      </c>
      <c r="P21" s="8">
        <f t="shared" si="3"/>
        <v>6</v>
      </c>
      <c r="Q21" s="8">
        <f t="shared" si="1"/>
        <v>6</v>
      </c>
      <c r="R21" s="8"/>
    </row>
    <row r="22" spans="1:18" x14ac:dyDescent="0.25">
      <c r="A22" s="4" t="s">
        <v>27</v>
      </c>
      <c r="B22" s="4" t="s">
        <v>34</v>
      </c>
      <c r="C22" s="5">
        <v>26</v>
      </c>
      <c r="D22" s="5">
        <v>26</v>
      </c>
      <c r="E22" s="5">
        <v>0</v>
      </c>
      <c r="F22" s="5">
        <v>2025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7">
        <f t="shared" si="4"/>
        <v>0</v>
      </c>
      <c r="P22" s="8">
        <f t="shared" si="3"/>
        <v>26</v>
      </c>
      <c r="Q22" s="8">
        <f t="shared" si="1"/>
        <v>26</v>
      </c>
      <c r="R22" s="8"/>
    </row>
    <row r="23" spans="1:18" x14ac:dyDescent="0.25">
      <c r="A23" s="10" t="s">
        <v>25</v>
      </c>
      <c r="B23" s="10"/>
      <c r="C23" s="3">
        <f>SUM(C8:C22)</f>
        <v>254</v>
      </c>
      <c r="D23" s="3">
        <f>SUM(D8:D22)</f>
        <v>61</v>
      </c>
      <c r="E23" s="3">
        <f>SUM(E8:E22)</f>
        <v>192</v>
      </c>
      <c r="F23" s="3"/>
      <c r="G23" s="3">
        <f t="shared" ref="G23:P23" si="5">SUM(G8:G22)</f>
        <v>11</v>
      </c>
      <c r="H23" s="3">
        <f t="shared" si="5"/>
        <v>7</v>
      </c>
      <c r="I23" s="3">
        <f t="shared" si="5"/>
        <v>35</v>
      </c>
      <c r="J23" s="3">
        <f t="shared" si="5"/>
        <v>25</v>
      </c>
      <c r="K23" s="3">
        <f t="shared" si="5"/>
        <v>11</v>
      </c>
      <c r="L23" s="3">
        <f t="shared" si="5"/>
        <v>7</v>
      </c>
      <c r="M23" s="3">
        <f t="shared" si="5"/>
        <v>11</v>
      </c>
      <c r="N23" s="3">
        <f t="shared" si="5"/>
        <v>5</v>
      </c>
      <c r="O23" s="3">
        <f>SUM(O8:O22)</f>
        <v>112</v>
      </c>
      <c r="P23" s="3">
        <f t="shared" si="5"/>
        <v>142</v>
      </c>
      <c r="Q23" s="11">
        <f t="shared" si="1"/>
        <v>135</v>
      </c>
      <c r="R23" s="3">
        <f t="shared" ref="R23" si="6">SUM(R8:R19)</f>
        <v>7</v>
      </c>
    </row>
    <row r="24" spans="1:18" x14ac:dyDescent="0.25">
      <c r="D24" s="1">
        <f>D23-D8</f>
        <v>54</v>
      </c>
    </row>
    <row r="25" spans="1:18" x14ac:dyDescent="0.25">
      <c r="D25" s="1">
        <v>7</v>
      </c>
    </row>
    <row r="27" spans="1:18" x14ac:dyDescent="0.25">
      <c r="D27" s="1" t="s">
        <v>43</v>
      </c>
    </row>
  </sheetData>
  <mergeCells count="9">
    <mergeCell ref="A1:R5"/>
    <mergeCell ref="Q6:R6"/>
    <mergeCell ref="A6:A7"/>
    <mergeCell ref="C6:C7"/>
    <mergeCell ref="D6:E6"/>
    <mergeCell ref="F6:F7"/>
    <mergeCell ref="G6:O6"/>
    <mergeCell ref="P6:P7"/>
    <mergeCell ref="B6:B7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Свод по ЖК каз</vt:lpstr>
      <vt:lpstr>Свод по ЖК русс</vt:lpstr>
      <vt:lpstr>'Свод по ЖК каз'!Область_печати</vt:lpstr>
      <vt:lpstr>'Свод по ЖК русс'!Область_печати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2026-08-10T20:03:19Z</dcterms:modified>
</cp:coreProperties>
</file>