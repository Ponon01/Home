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housing_backend\data\"/>
    </mc:Choice>
  </mc:AlternateContent>
  <xr:revisionPtr revIDLastSave="0" documentId="13_ncr:1_{A8CEB882-3028-4DBC-8714-D0B7232515BC}" xr6:coauthVersionLast="47" xr6:coauthVersionMax="47" xr10:uidLastSave="{00000000-0000-0000-0000-000000000000}"/>
  <bookViews>
    <workbookView xWindow="-120" yWindow="-120" windowWidth="29040" windowHeight="15720" tabRatio="999" xr2:uid="{00000000-000D-0000-FFFF-FFFF00000000}"/>
  </bookViews>
  <sheets>
    <sheet name="Лист1" sheetId="1" r:id="rId1"/>
  </sheets>
  <definedNames>
    <definedName name="_xlnm._FilterDatabase" localSheetId="0" hidden="1">Лист1!$A$5:$AW$116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90" i="1" l="1"/>
  <c r="P118" i="1" l="1"/>
  <c r="Q118" i="1"/>
  <c r="R118" i="1"/>
  <c r="S118" i="1"/>
  <c r="T118" i="1"/>
  <c r="AG118" i="1"/>
  <c r="AH118" i="1"/>
  <c r="AI118" i="1"/>
  <c r="AJ118" i="1"/>
  <c r="AK118" i="1"/>
  <c r="AL118" i="1"/>
  <c r="AM118" i="1"/>
  <c r="AN118" i="1"/>
  <c r="AO118" i="1"/>
  <c r="AP118" i="1"/>
  <c r="AQ118" i="1"/>
  <c r="AR118" i="1"/>
  <c r="AS118" i="1"/>
  <c r="AT118" i="1"/>
  <c r="AU118" i="1"/>
  <c r="O118" i="1"/>
  <c r="F118" i="1"/>
  <c r="I118" i="1"/>
  <c r="J118" i="1"/>
  <c r="L118" i="1"/>
  <c r="N118" i="1"/>
  <c r="Z97" i="1" l="1"/>
  <c r="Z87" i="1" l="1"/>
  <c r="Z83" i="1"/>
  <c r="Z79" i="1"/>
  <c r="Z34" i="1"/>
  <c r="AB51" i="1" l="1"/>
  <c r="AC51" i="1"/>
  <c r="AD51" i="1"/>
  <c r="AE51" i="1"/>
  <c r="AF51" i="1"/>
  <c r="AB52" i="1"/>
  <c r="AC52" i="1"/>
  <c r="AD52" i="1"/>
  <c r="AE52" i="1"/>
  <c r="AF52" i="1"/>
  <c r="AB53" i="1"/>
  <c r="AC53" i="1"/>
  <c r="AD53" i="1"/>
  <c r="AE53" i="1"/>
  <c r="AF53" i="1"/>
  <c r="AC54" i="1"/>
  <c r="AD54" i="1"/>
  <c r="AE54" i="1"/>
  <c r="AF54" i="1"/>
  <c r="AB56" i="1"/>
  <c r="AC56" i="1"/>
  <c r="AD56" i="1"/>
  <c r="AE56" i="1"/>
  <c r="AF56" i="1"/>
  <c r="AB57" i="1"/>
  <c r="AC57" i="1"/>
  <c r="AD57" i="1"/>
  <c r="AE57" i="1"/>
  <c r="AF57" i="1"/>
  <c r="AB58" i="1"/>
  <c r="AC58" i="1"/>
  <c r="AD58" i="1"/>
  <c r="AE58" i="1"/>
  <c r="AF58" i="1"/>
  <c r="AB59" i="1"/>
  <c r="AC59" i="1"/>
  <c r="AD59" i="1"/>
  <c r="AE59" i="1"/>
  <c r="AF59" i="1"/>
  <c r="AB60" i="1"/>
  <c r="AC60" i="1"/>
  <c r="AD60" i="1"/>
  <c r="AE60" i="1"/>
  <c r="AF60" i="1"/>
  <c r="AB62" i="1"/>
  <c r="AC62" i="1"/>
  <c r="AD62" i="1"/>
  <c r="AE62" i="1"/>
  <c r="AF62" i="1"/>
  <c r="AB63" i="1"/>
  <c r="AC63" i="1"/>
  <c r="AD63" i="1"/>
  <c r="AE63" i="1"/>
  <c r="AF63" i="1"/>
  <c r="AB64" i="1"/>
  <c r="AC64" i="1"/>
  <c r="AD64" i="1"/>
  <c r="AE64" i="1"/>
  <c r="AF64" i="1"/>
  <c r="AB65" i="1"/>
  <c r="AC65" i="1"/>
  <c r="AD65" i="1"/>
  <c r="AE65" i="1"/>
  <c r="AF65" i="1"/>
  <c r="AB66" i="1"/>
  <c r="AC66" i="1"/>
  <c r="AD66" i="1"/>
  <c r="AE66" i="1"/>
  <c r="AF66" i="1"/>
  <c r="AB70" i="1"/>
  <c r="AC70" i="1"/>
  <c r="AD70" i="1"/>
  <c r="AE70" i="1"/>
  <c r="AF70" i="1"/>
  <c r="AB71" i="1"/>
  <c r="AC71" i="1"/>
  <c r="AD71" i="1"/>
  <c r="AE71" i="1"/>
  <c r="AF71" i="1"/>
  <c r="AB72" i="1"/>
  <c r="AC72" i="1"/>
  <c r="AD72" i="1"/>
  <c r="AE72" i="1"/>
  <c r="AF72" i="1"/>
  <c r="AB73" i="1"/>
  <c r="AC73" i="1"/>
  <c r="AD73" i="1"/>
  <c r="AE73" i="1"/>
  <c r="AF73" i="1"/>
  <c r="AB75" i="1"/>
  <c r="AC75" i="1"/>
  <c r="AD75" i="1"/>
  <c r="AE75" i="1"/>
  <c r="AF75" i="1"/>
  <c r="AB79" i="1"/>
  <c r="AC79" i="1"/>
  <c r="AD79" i="1"/>
  <c r="AE79" i="1"/>
  <c r="AF79" i="1"/>
  <c r="AB80" i="1"/>
  <c r="AC80" i="1"/>
  <c r="AD80" i="1"/>
  <c r="AE80" i="1"/>
  <c r="AF80" i="1"/>
  <c r="AB81" i="1"/>
  <c r="AC81" i="1"/>
  <c r="AD81" i="1"/>
  <c r="AE81" i="1"/>
  <c r="AF81" i="1"/>
  <c r="AB83" i="1"/>
  <c r="AC83" i="1"/>
  <c r="AD83" i="1"/>
  <c r="AE83" i="1"/>
  <c r="AF83" i="1"/>
  <c r="AA84" i="1"/>
  <c r="AB84" i="1"/>
  <c r="AC84" i="1"/>
  <c r="AD84" i="1"/>
  <c r="AE84" i="1"/>
  <c r="AF84" i="1"/>
  <c r="AB85" i="1"/>
  <c r="AC85" i="1"/>
  <c r="AD85" i="1"/>
  <c r="AE85" i="1"/>
  <c r="AF85" i="1"/>
  <c r="AB86" i="1"/>
  <c r="AC86" i="1"/>
  <c r="AD86" i="1"/>
  <c r="AE86" i="1"/>
  <c r="AF86" i="1"/>
  <c r="AB87" i="1"/>
  <c r="AC87" i="1"/>
  <c r="AD87" i="1"/>
  <c r="AE87" i="1"/>
  <c r="AF87" i="1"/>
  <c r="AB90" i="1"/>
  <c r="AC90" i="1"/>
  <c r="AD90" i="1"/>
  <c r="AE90" i="1"/>
  <c r="AF90" i="1"/>
  <c r="AB91" i="1"/>
  <c r="AC91" i="1"/>
  <c r="AD91" i="1"/>
  <c r="AE91" i="1"/>
  <c r="AF91" i="1"/>
  <c r="AA93" i="1"/>
  <c r="AB93" i="1"/>
  <c r="AC93" i="1"/>
  <c r="AD93" i="1"/>
  <c r="AE93" i="1"/>
  <c r="AF93" i="1"/>
  <c r="AA95" i="1"/>
  <c r="AB95" i="1"/>
  <c r="AC95" i="1"/>
  <c r="AD95" i="1"/>
  <c r="AE95" i="1"/>
  <c r="AF95" i="1"/>
  <c r="AB97" i="1"/>
  <c r="AC97" i="1"/>
  <c r="AD97" i="1"/>
  <c r="AE97" i="1"/>
  <c r="AF97" i="1"/>
  <c r="AB100" i="1"/>
  <c r="AC100" i="1"/>
  <c r="AD100" i="1"/>
  <c r="AE100" i="1"/>
  <c r="AF100" i="1"/>
  <c r="AB101" i="1"/>
  <c r="AC101" i="1"/>
  <c r="AD101" i="1"/>
  <c r="AE101" i="1"/>
  <c r="AF101" i="1"/>
  <c r="AB102" i="1"/>
  <c r="AC102" i="1"/>
  <c r="AD102" i="1"/>
  <c r="AE102" i="1"/>
  <c r="AF102" i="1"/>
  <c r="AB105" i="1"/>
  <c r="AC105" i="1"/>
  <c r="AD105" i="1"/>
  <c r="AE105" i="1"/>
  <c r="AF105" i="1"/>
  <c r="AA106" i="1"/>
  <c r="AB106" i="1"/>
  <c r="AC106" i="1"/>
  <c r="AD106" i="1"/>
  <c r="AE106" i="1"/>
  <c r="AF106" i="1"/>
  <c r="AB107" i="1"/>
  <c r="AC107" i="1"/>
  <c r="AD107" i="1"/>
  <c r="AE107" i="1"/>
  <c r="AF107" i="1"/>
  <c r="AB108" i="1"/>
  <c r="AC108" i="1"/>
  <c r="AD108" i="1"/>
  <c r="AE108" i="1"/>
  <c r="AF108" i="1"/>
  <c r="AB110" i="1"/>
  <c r="AC110" i="1"/>
  <c r="AD110" i="1"/>
  <c r="AE110" i="1"/>
  <c r="AF110" i="1"/>
  <c r="AB112" i="1"/>
  <c r="AC112" i="1"/>
  <c r="AD112" i="1"/>
  <c r="AE112" i="1"/>
  <c r="AF112" i="1"/>
  <c r="AB114" i="1"/>
  <c r="AC114" i="1"/>
  <c r="AD114" i="1"/>
  <c r="AE114" i="1"/>
  <c r="AF114" i="1"/>
  <c r="AB115" i="1"/>
  <c r="AC115" i="1"/>
  <c r="AD115" i="1"/>
  <c r="AE115" i="1"/>
  <c r="AF115" i="1"/>
  <c r="AA116" i="1"/>
  <c r="AB116" i="1"/>
  <c r="AC116" i="1"/>
  <c r="AD116" i="1"/>
  <c r="AE116" i="1"/>
  <c r="AF116" i="1"/>
  <c r="Z116" i="1"/>
  <c r="Z106" i="1"/>
  <c r="Z102" i="1"/>
  <c r="Z101" i="1"/>
  <c r="Z100" i="1"/>
  <c r="Z93" i="1"/>
  <c r="Z91" i="1"/>
  <c r="Z85" i="1"/>
  <c r="Z84" i="1"/>
  <c r="Z71" i="1"/>
  <c r="Z70" i="1"/>
  <c r="Z62" i="1"/>
  <c r="Z60" i="1"/>
  <c r="Z53" i="1"/>
  <c r="Z51" i="1"/>
  <c r="AB50" i="1"/>
  <c r="AC50" i="1"/>
  <c r="AD50" i="1"/>
  <c r="AE50" i="1"/>
  <c r="AF50" i="1"/>
  <c r="AB16" i="1"/>
  <c r="AC16" i="1"/>
  <c r="AD16" i="1"/>
  <c r="AE16" i="1"/>
  <c r="AF16" i="1"/>
  <c r="AB17" i="1"/>
  <c r="AC17" i="1"/>
  <c r="AD17" i="1"/>
  <c r="AE17" i="1"/>
  <c r="AF17" i="1"/>
  <c r="AB18" i="1"/>
  <c r="AC18" i="1"/>
  <c r="AD18" i="1"/>
  <c r="AE18" i="1"/>
  <c r="AF18" i="1"/>
  <c r="AB21" i="1"/>
  <c r="AC21" i="1"/>
  <c r="AD21" i="1"/>
  <c r="AE21" i="1"/>
  <c r="AF21" i="1"/>
  <c r="AB26" i="1"/>
  <c r="AC26" i="1"/>
  <c r="AD26" i="1"/>
  <c r="AE26" i="1"/>
  <c r="AF26" i="1"/>
  <c r="AB30" i="1"/>
  <c r="AC30" i="1"/>
  <c r="AD30" i="1"/>
  <c r="AE30" i="1"/>
  <c r="AF30" i="1"/>
  <c r="AB31" i="1"/>
  <c r="AC31" i="1"/>
  <c r="AD31" i="1"/>
  <c r="AE31" i="1"/>
  <c r="AF31" i="1"/>
  <c r="AB32" i="1"/>
  <c r="AC32" i="1"/>
  <c r="AD32" i="1"/>
  <c r="AE32" i="1"/>
  <c r="AF32" i="1"/>
  <c r="AB35" i="1"/>
  <c r="AC35" i="1"/>
  <c r="AD35" i="1"/>
  <c r="AE35" i="1"/>
  <c r="AF35" i="1"/>
  <c r="AB37" i="1"/>
  <c r="AC37" i="1"/>
  <c r="AD37" i="1"/>
  <c r="AE37" i="1"/>
  <c r="AF37" i="1"/>
  <c r="AB38" i="1"/>
  <c r="AC38" i="1"/>
  <c r="AD38" i="1"/>
  <c r="AE38" i="1"/>
  <c r="AF38" i="1"/>
  <c r="AB40" i="1"/>
  <c r="AC40" i="1"/>
  <c r="AD40" i="1"/>
  <c r="AE40" i="1"/>
  <c r="AF40" i="1"/>
  <c r="AB41" i="1"/>
  <c r="AC41" i="1"/>
  <c r="AD41" i="1"/>
  <c r="AE41" i="1"/>
  <c r="AF41" i="1"/>
  <c r="AB43" i="1"/>
  <c r="AC43" i="1"/>
  <c r="AD43" i="1"/>
  <c r="AE43" i="1"/>
  <c r="AF43" i="1"/>
  <c r="AB44" i="1"/>
  <c r="AC44" i="1"/>
  <c r="AD44" i="1"/>
  <c r="AE44" i="1"/>
  <c r="AF44" i="1"/>
  <c r="AB45" i="1"/>
  <c r="AC45" i="1"/>
  <c r="AD45" i="1"/>
  <c r="AE45" i="1"/>
  <c r="AF45" i="1"/>
  <c r="AB46" i="1"/>
  <c r="AC46" i="1"/>
  <c r="AD46" i="1"/>
  <c r="AE46" i="1"/>
  <c r="AF46" i="1"/>
  <c r="AB47" i="1"/>
  <c r="AC47" i="1"/>
  <c r="AD47" i="1"/>
  <c r="AE47" i="1"/>
  <c r="AF47" i="1"/>
  <c r="AB48" i="1"/>
  <c r="AC48" i="1"/>
  <c r="AD48" i="1"/>
  <c r="AE48" i="1"/>
  <c r="AF48" i="1"/>
  <c r="AB49" i="1"/>
  <c r="AC49" i="1"/>
  <c r="AD49" i="1"/>
  <c r="AE49" i="1"/>
  <c r="AF49" i="1"/>
  <c r="AA13" i="1"/>
  <c r="AB13" i="1"/>
  <c r="AC13" i="1"/>
  <c r="AD13" i="1"/>
  <c r="AE13" i="1"/>
  <c r="AF13" i="1"/>
  <c r="AA32" i="1"/>
  <c r="AA38" i="1"/>
  <c r="Z49" i="1"/>
  <c r="Z44" i="1"/>
  <c r="Z38" i="1"/>
  <c r="Z37" i="1"/>
  <c r="Z32" i="1"/>
  <c r="Z31" i="1"/>
  <c r="Z26" i="1"/>
  <c r="Z13" i="1"/>
  <c r="AB10" i="1"/>
  <c r="AC10" i="1"/>
  <c r="AD10" i="1"/>
  <c r="AE10" i="1"/>
  <c r="AF10" i="1"/>
  <c r="AB11" i="1"/>
  <c r="AC11" i="1"/>
  <c r="AD11" i="1"/>
  <c r="AE11" i="1"/>
  <c r="AF11" i="1"/>
  <c r="AB8" i="1"/>
  <c r="AC8" i="1"/>
  <c r="AD8" i="1"/>
  <c r="AE8" i="1"/>
  <c r="AF8" i="1"/>
  <c r="Z8" i="1"/>
  <c r="AB7" i="1"/>
  <c r="AC7" i="1"/>
  <c r="AD7" i="1"/>
  <c r="AE7" i="1"/>
  <c r="AF7" i="1"/>
  <c r="Z7" i="1"/>
  <c r="AB6" i="1"/>
  <c r="AC6" i="1"/>
  <c r="AD6" i="1"/>
  <c r="AE6" i="1"/>
  <c r="AF6" i="1"/>
  <c r="Z118" i="1" l="1"/>
  <c r="AA118" i="1"/>
  <c r="Y48" i="1" l="1"/>
  <c r="Y9" i="1" l="1"/>
  <c r="Y6" i="1"/>
  <c r="AV37" i="1"/>
  <c r="AW37" i="1" s="1"/>
  <c r="Y118" i="1" l="1"/>
  <c r="AV9" i="1"/>
  <c r="X112" i="1"/>
  <c r="X87" i="1"/>
  <c r="X84" i="1"/>
  <c r="X6" i="1" l="1"/>
  <c r="X118" i="1" s="1"/>
  <c r="W37" i="1" l="1"/>
  <c r="U103" i="1" l="1"/>
  <c r="K37" i="1"/>
  <c r="K118" i="1" s="1"/>
  <c r="W91" i="1" l="1"/>
  <c r="V91" i="1"/>
  <c r="V43" i="1"/>
  <c r="W62" i="1"/>
  <c r="V62" i="1"/>
  <c r="U62" i="1"/>
  <c r="U98" i="1" l="1"/>
  <c r="U100" i="1"/>
  <c r="V100" i="1"/>
  <c r="W100" i="1"/>
  <c r="V101" i="1"/>
  <c r="W101" i="1"/>
  <c r="U102" i="1"/>
  <c r="V102" i="1"/>
  <c r="W102" i="1"/>
  <c r="U106" i="1"/>
  <c r="V106" i="1"/>
  <c r="W106" i="1"/>
  <c r="U116" i="1"/>
  <c r="V116" i="1"/>
  <c r="W116" i="1"/>
  <c r="U97" i="1"/>
  <c r="V97" i="1"/>
  <c r="W97" i="1"/>
  <c r="U60" i="1"/>
  <c r="V60" i="1"/>
  <c r="W60" i="1"/>
  <c r="V70" i="1"/>
  <c r="W70" i="1"/>
  <c r="U71" i="1"/>
  <c r="V71" i="1"/>
  <c r="W71" i="1"/>
  <c r="U72" i="1"/>
  <c r="V72" i="1"/>
  <c r="W72" i="1"/>
  <c r="U84" i="1"/>
  <c r="V84" i="1"/>
  <c r="W84" i="1"/>
  <c r="U85" i="1"/>
  <c r="V85" i="1"/>
  <c r="W85" i="1"/>
  <c r="U87" i="1"/>
  <c r="V87" i="1"/>
  <c r="W87" i="1"/>
  <c r="U93" i="1"/>
  <c r="V93" i="1"/>
  <c r="W93" i="1"/>
  <c r="W95" i="1"/>
  <c r="V20" i="1"/>
  <c r="W20" i="1"/>
  <c r="U26" i="1"/>
  <c r="V26" i="1"/>
  <c r="W26" i="1"/>
  <c r="U31" i="1"/>
  <c r="V31" i="1"/>
  <c r="W31" i="1"/>
  <c r="U32" i="1"/>
  <c r="V32" i="1"/>
  <c r="W32" i="1"/>
  <c r="U41" i="1"/>
  <c r="V41" i="1"/>
  <c r="W41" i="1"/>
  <c r="U44" i="1"/>
  <c r="V44" i="1"/>
  <c r="W44" i="1"/>
  <c r="V48" i="1"/>
  <c r="W48" i="1"/>
  <c r="U49" i="1"/>
  <c r="V49" i="1"/>
  <c r="W49" i="1"/>
  <c r="U51" i="1"/>
  <c r="V51" i="1"/>
  <c r="W51" i="1"/>
  <c r="U53" i="1"/>
  <c r="V53" i="1"/>
  <c r="W53" i="1"/>
  <c r="U8" i="1"/>
  <c r="V8" i="1"/>
  <c r="W8" i="1"/>
  <c r="V13" i="1"/>
  <c r="W13" i="1"/>
  <c r="AV91" i="1"/>
  <c r="U118" i="1" l="1"/>
  <c r="W118" i="1"/>
  <c r="V118" i="1"/>
  <c r="AV43" i="1"/>
  <c r="AG124" i="1" l="1"/>
  <c r="AH124" i="1"/>
  <c r="AI124" i="1"/>
  <c r="AJ124" i="1"/>
  <c r="AK124" i="1"/>
  <c r="AL124" i="1"/>
  <c r="AM124" i="1"/>
  <c r="AN124" i="1"/>
  <c r="AO124" i="1"/>
  <c r="AP124" i="1"/>
  <c r="AQ124" i="1"/>
  <c r="AR124" i="1"/>
  <c r="AS124" i="1"/>
  <c r="AT124" i="1"/>
  <c r="AV57" i="1" l="1"/>
  <c r="AV62" i="1"/>
  <c r="AV109" i="1"/>
  <c r="AV113" i="1"/>
  <c r="AV7" i="1"/>
  <c r="AV8" i="1"/>
  <c r="AV10" i="1"/>
  <c r="AV11" i="1"/>
  <c r="AV12" i="1"/>
  <c r="AV13" i="1"/>
  <c r="AV15" i="1"/>
  <c r="AV16" i="1"/>
  <c r="AV17" i="1"/>
  <c r="AV18" i="1"/>
  <c r="AV20" i="1"/>
  <c r="AV21" i="1"/>
  <c r="AV24" i="1"/>
  <c r="AV26" i="1"/>
  <c r="AV29" i="1"/>
  <c r="AV30" i="1"/>
  <c r="AV31" i="1"/>
  <c r="AV32" i="1"/>
  <c r="AV34" i="1"/>
  <c r="AV35" i="1"/>
  <c r="AV38" i="1"/>
  <c r="AV40" i="1"/>
  <c r="AV41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8" i="1"/>
  <c r="AV59" i="1"/>
  <c r="AV60" i="1"/>
  <c r="AV63" i="1"/>
  <c r="AV64" i="1"/>
  <c r="AV65" i="1"/>
  <c r="AV66" i="1"/>
  <c r="AV68" i="1"/>
  <c r="AV70" i="1"/>
  <c r="AV71" i="1"/>
  <c r="AV72" i="1"/>
  <c r="AV73" i="1"/>
  <c r="AV75" i="1"/>
  <c r="AV79" i="1"/>
  <c r="AV80" i="1"/>
  <c r="AV81" i="1"/>
  <c r="AV83" i="1"/>
  <c r="AV84" i="1"/>
  <c r="AV85" i="1"/>
  <c r="AV86" i="1"/>
  <c r="AV87" i="1"/>
  <c r="AV90" i="1"/>
  <c r="AV93" i="1"/>
  <c r="AV95" i="1"/>
  <c r="AV96" i="1"/>
  <c r="AV97" i="1"/>
  <c r="AV98" i="1"/>
  <c r="AV100" i="1"/>
  <c r="AV101" i="1"/>
  <c r="AV102" i="1"/>
  <c r="AV103" i="1"/>
  <c r="AW103" i="1" s="1"/>
  <c r="AV105" i="1"/>
  <c r="AV106" i="1"/>
  <c r="AV107" i="1"/>
  <c r="AV108" i="1"/>
  <c r="AV110" i="1"/>
  <c r="AV111" i="1"/>
  <c r="AV112" i="1"/>
  <c r="AV114" i="1"/>
  <c r="AV115" i="1"/>
  <c r="AV116" i="1"/>
  <c r="AV14" i="1"/>
  <c r="AV19" i="1"/>
  <c r="AV22" i="1"/>
  <c r="AV23" i="1"/>
  <c r="AV25" i="1"/>
  <c r="AV27" i="1"/>
  <c r="AV28" i="1"/>
  <c r="AV33" i="1"/>
  <c r="AV36" i="1"/>
  <c r="AV39" i="1"/>
  <c r="AV42" i="1"/>
  <c r="AV61" i="1"/>
  <c r="AV67" i="1"/>
  <c r="AV69" i="1"/>
  <c r="AV74" i="1"/>
  <c r="AV76" i="1"/>
  <c r="AV77" i="1"/>
  <c r="AV78" i="1"/>
  <c r="AV82" i="1"/>
  <c r="AV88" i="1"/>
  <c r="AV89" i="1"/>
  <c r="AV92" i="1"/>
  <c r="AV94" i="1"/>
  <c r="AV99" i="1"/>
  <c r="AV104" i="1"/>
  <c r="AE29" i="1" l="1"/>
  <c r="AB29" i="1"/>
  <c r="AF29" i="1"/>
  <c r="AC29" i="1"/>
  <c r="AD29" i="1"/>
  <c r="AC111" i="1"/>
  <c r="AD111" i="1"/>
  <c r="AE111" i="1"/>
  <c r="AB111" i="1"/>
  <c r="AF111" i="1"/>
  <c r="AF118" i="1" l="1"/>
  <c r="AC118" i="1"/>
  <c r="AB118" i="1"/>
  <c r="AD118" i="1"/>
  <c r="AE118" i="1"/>
  <c r="AG123" i="1"/>
  <c r="AG125" i="1" s="1"/>
  <c r="AH123" i="1"/>
  <c r="AH125" i="1" s="1"/>
  <c r="AI123" i="1"/>
  <c r="AI125" i="1" s="1"/>
  <c r="AJ123" i="1"/>
  <c r="AJ125" i="1" s="1"/>
  <c r="AK123" i="1"/>
  <c r="AK125" i="1" s="1"/>
  <c r="AL123" i="1"/>
  <c r="AL125" i="1" s="1"/>
  <c r="AM123" i="1"/>
  <c r="AM125" i="1" s="1"/>
  <c r="AN123" i="1"/>
  <c r="AN125" i="1" s="1"/>
  <c r="AO123" i="1"/>
  <c r="AO125" i="1" s="1"/>
  <c r="AP123" i="1"/>
  <c r="AP125" i="1" s="1"/>
  <c r="AQ123" i="1"/>
  <c r="AQ125" i="1" s="1"/>
  <c r="AR123" i="1"/>
  <c r="AR125" i="1" s="1"/>
  <c r="AS123" i="1"/>
  <c r="AS125" i="1" s="1"/>
  <c r="AT123" i="1"/>
  <c r="AT125" i="1" s="1"/>
  <c r="AW123" i="1" l="1"/>
  <c r="AW124" i="1" l="1"/>
  <c r="T119" i="1" l="1"/>
  <c r="AW62" i="1" l="1"/>
  <c r="AV6" i="1"/>
  <c r="AV118" i="1" s="1"/>
  <c r="AV124" i="1" l="1"/>
  <c r="AV123" i="1"/>
  <c r="AW14" i="1"/>
  <c r="AW19" i="1"/>
  <c r="AW23" i="1"/>
  <c r="AW25" i="1"/>
  <c r="AW27" i="1"/>
  <c r="AW33" i="1"/>
  <c r="AW39" i="1"/>
  <c r="AW42" i="1"/>
  <c r="AW61" i="1"/>
  <c r="AW67" i="1"/>
  <c r="AW69" i="1"/>
  <c r="AW74" i="1"/>
  <c r="AW76" i="1"/>
  <c r="AW77" i="1"/>
  <c r="AW78" i="1"/>
  <c r="AW82" i="1"/>
  <c r="AW88" i="1"/>
  <c r="AW89" i="1"/>
  <c r="AW92" i="1"/>
  <c r="AW94" i="1"/>
  <c r="AW99" i="1"/>
  <c r="AW104" i="1"/>
  <c r="AW109" i="1"/>
  <c r="AW113" i="1"/>
  <c r="AW22" i="1"/>
  <c r="AW28" i="1"/>
  <c r="AW36" i="1"/>
  <c r="AV125" i="1" l="1"/>
  <c r="AW59" i="1" l="1"/>
  <c r="AW54" i="1"/>
  <c r="AW50" i="1"/>
  <c r="AW46" i="1"/>
  <c r="AW40" i="1"/>
  <c r="AW32" i="1"/>
  <c r="AW26" i="1"/>
  <c r="AW112" i="1"/>
  <c r="AW13" i="1"/>
  <c r="AW106" i="1"/>
  <c r="AW96" i="1"/>
  <c r="AW75" i="1"/>
  <c r="AW70" i="1"/>
  <c r="AW64" i="1"/>
  <c r="AW58" i="1"/>
  <c r="AW49" i="1"/>
  <c r="AW31" i="1"/>
  <c r="AW24" i="1"/>
  <c r="AW17" i="1"/>
  <c r="AW12" i="1"/>
  <c r="AW8" i="1"/>
  <c r="AW34" i="1"/>
  <c r="AW111" i="1"/>
  <c r="AW87" i="1"/>
  <c r="AW53" i="1"/>
  <c r="AW116" i="1"/>
  <c r="AW101" i="1"/>
  <c r="AW45" i="1"/>
  <c r="AW115" i="1"/>
  <c r="AW110" i="1"/>
  <c r="AW105" i="1"/>
  <c r="AW100" i="1"/>
  <c r="AW95" i="1"/>
  <c r="AW86" i="1"/>
  <c r="AW81" i="1"/>
  <c r="AW73" i="1"/>
  <c r="AW56" i="1"/>
  <c r="AW52" i="1"/>
  <c r="AW48" i="1"/>
  <c r="AW44" i="1"/>
  <c r="AW35" i="1"/>
  <c r="AW30" i="1"/>
  <c r="AW21" i="1"/>
  <c r="AW16" i="1"/>
  <c r="AW11" i="1"/>
  <c r="AW7" i="1"/>
  <c r="AW72" i="1"/>
  <c r="AW9" i="1"/>
  <c r="AW6" i="1"/>
  <c r="AW114" i="1"/>
  <c r="AW108" i="1"/>
  <c r="AW98" i="1"/>
  <c r="AW93" i="1"/>
  <c r="AW85" i="1"/>
  <c r="AW80" i="1"/>
  <c r="AW66" i="1"/>
  <c r="AW60" i="1"/>
  <c r="AW55" i="1"/>
  <c r="AW51" i="1"/>
  <c r="AW47" i="1"/>
  <c r="AW41" i="1"/>
  <c r="AW29" i="1"/>
  <c r="AW20" i="1"/>
  <c r="AW15" i="1"/>
  <c r="AW10" i="1"/>
  <c r="AW83" i="1"/>
  <c r="AW38" i="1"/>
  <c r="AW107" i="1"/>
  <c r="AW102" i="1"/>
  <c r="AW97" i="1"/>
  <c r="AW90" i="1"/>
  <c r="AW84" i="1"/>
  <c r="AW79" i="1"/>
  <c r="AW71" i="1"/>
  <c r="AW65" i="1"/>
  <c r="AW18" i="1"/>
  <c r="AW63" i="1"/>
  <c r="AW68" i="1"/>
</calcChain>
</file>

<file path=xl/sharedStrings.xml><?xml version="1.0" encoding="utf-8"?>
<sst xmlns="http://schemas.openxmlformats.org/spreadsheetml/2006/main" count="401" uniqueCount="383">
  <si>
    <t>№ п/п</t>
  </si>
  <si>
    <t>Адрес</t>
  </si>
  <si>
    <t xml:space="preserve">ФИО </t>
  </si>
  <si>
    <t>Договор купли продажи</t>
  </si>
  <si>
    <t>Период реализации</t>
  </si>
  <si>
    <t>Балансовая стоймость</t>
  </si>
  <si>
    <t>Стоимость жилья согласно отчету об оценке имущества</t>
  </si>
  <si>
    <t>Сумма первоначального взноса (в размере не менее 20% от стоимости жилья, определенной договором купли продажи)</t>
  </si>
  <si>
    <t>Жилой комплекс Сапа-2007, 188 7 - 187</t>
  </si>
  <si>
    <t>Абдреева Макпал Жолдасбековнпа</t>
  </si>
  <si>
    <t>договор купли-продажи квартиры № 393 от 18.03.2021 г. (рассрочка 15 лет)</t>
  </si>
  <si>
    <t>Жилой комплекс Зерде, Кудайбердыулы 4 - 88</t>
  </si>
  <si>
    <t>Айдархан Жансая Қанатбекқызы</t>
  </si>
  <si>
    <t>договор купли -продажи квартиры №2221 от 17.05.2024 г рассрочка 15 лет</t>
  </si>
  <si>
    <t>ул. Кенен Азирбаев, дом 6/2, кв. 32</t>
  </si>
  <si>
    <t>Ақарыс Бейбарыс Бақытбекұлы</t>
  </si>
  <si>
    <t>договор купли-продажи квартиры № … от 13 сентября 2024 г. сроком рассрочки на 15 лет</t>
  </si>
  <si>
    <t>Жилой комплекс Общежитие, Республики 81, 420</t>
  </si>
  <si>
    <t>Алиев Ержан Максутханович</t>
  </si>
  <si>
    <t>договор купли продажи квартиры № 1505 от 06.10.2021 года.  (Рассрочка 15 лет)</t>
  </si>
  <si>
    <t>Жилой комплекс Жагалау-3, 199 36/1 - 26</t>
  </si>
  <si>
    <t xml:space="preserve">Алиева Амина Кайратовна </t>
  </si>
  <si>
    <t>договор купли продажи квартиры № 520 от 06.04.2021 г. (Рассрочка 15 лет)</t>
  </si>
  <si>
    <t>Жилой комплекс Сармат-2, Сауран 3/1 - 316</t>
  </si>
  <si>
    <t>Альпиев Толеубек Нигметович</t>
  </si>
  <si>
    <t>Договор купли продажи квартиры № 640 от 02 июня 2025 г. Рассрочка 15 лет</t>
  </si>
  <si>
    <t>Жилой комплекс Сармат-2, Сауран 3/1 - 357</t>
  </si>
  <si>
    <t>Аникушин Геннадий Станиславович</t>
  </si>
  <si>
    <t>договор купли продажи квартиры № 3630 от 27.12.2022 г. Рассрочка  на 15 лет</t>
  </si>
  <si>
    <t>ул. Кенен Азирбаев, дом 6/5, кв. 49</t>
  </si>
  <si>
    <t>Ануарбек Олжас Ерланулы</t>
  </si>
  <si>
    <t>договор купли продажи квартиры № 92 от 27.01.2022 г сроком рассрочки на 15 лет</t>
  </si>
  <si>
    <t>Жилой комплекс Сапа-2007, 188 7 - 193</t>
  </si>
  <si>
    <t xml:space="preserve">Арынгазина Асылтас Сабитовна </t>
  </si>
  <si>
    <t>Жилой комплекс Сапа-2007, 188 7 – 189</t>
  </si>
  <si>
    <t>Ахатов Курванжан Мухаметжаноич</t>
  </si>
  <si>
    <t xml:space="preserve">договор купли-продажи квартиры № 6488 от 19.12.2023 г.               (Рассрочка  15 лет) </t>
  </si>
  <si>
    <t>Жилой комплекс Виктория, Б. Момышулы 2 - 134</t>
  </si>
  <si>
    <t>Ахметалиева Забира Конысбековна</t>
  </si>
  <si>
    <t>договор купли продажи квартиры № 853 от 01.04.2022 г. Рассрочка  на 15 лет</t>
  </si>
  <si>
    <t>Жилой комплекс Сапа-2007, 188 7 - 171</t>
  </si>
  <si>
    <t>Ахметова Жанар Махсатовна</t>
  </si>
  <si>
    <t>договор купли-продажи квартиры № 397 от 08.03.2021 г. (рассрочка 15 лет)</t>
  </si>
  <si>
    <t>Жилой комплекс Сапа-2007, 188 7 - 207</t>
  </si>
  <si>
    <t>Баймурзин Руслан Талгатович</t>
  </si>
  <si>
    <t>договор купли-продажи квартиры № 1812 от 19.11.2021 г.  (рассрочка 15 лет)</t>
  </si>
  <si>
    <t>Жилой комплекс Жагалау-3, 199 36/1 - 35</t>
  </si>
  <si>
    <t>Бакешева Жаннур Жумакановна</t>
  </si>
  <si>
    <t>договор купли-продажи квартиры № 1975 от 24.12.2021 г.               (Рассрочка 15 лет)</t>
  </si>
  <si>
    <t>Жилой комплекс Лазурный квартал 2-6, Сарайшык 5Д - 19</t>
  </si>
  <si>
    <t>Бегалина Галия Караторгаевна</t>
  </si>
  <si>
    <t>Жилой комплекс Зерде, ул. Кудайбердыулы 4 кв. 303</t>
  </si>
  <si>
    <t>Бейсембиев Жанадил Ибраимович</t>
  </si>
  <si>
    <t>договор купли продажи
квартиры № 1618 от 25.10.2021 г. Рассрочка 15 лет</t>
  </si>
  <si>
    <t>Жилой комплекс Жагалау-3, 199 36 - 350</t>
  </si>
  <si>
    <t>Булатов Фархад Булатович</t>
  </si>
  <si>
    <t xml:space="preserve">договор купли-продажи квартиры № 1087 от 20.04.2022 г.                                  (Рассрочка  15 лет) </t>
  </si>
  <si>
    <t>Жилой комплекс Виктория, Б. Момышулы 2 - 120</t>
  </si>
  <si>
    <t xml:space="preserve">Булекбаева Адель Бериковна </t>
  </si>
  <si>
    <t>договор купли продажи квартиры № 4900 от 12.09.2023 г. Рассрочка  на 15 лет</t>
  </si>
  <si>
    <t>Жилой комплекс Лазурный квартал 2-6, Сарайшык 5Д - 90</t>
  </si>
  <si>
    <t>Вицинская Татьяна Александровна</t>
  </si>
  <si>
    <t>договор купли продажи квартиры № 98 от 28.01.2022 г. Рассрочка на 15 лет</t>
  </si>
  <si>
    <t>Жилой комплекс Сармат-2, Сауран 3/1-43</t>
  </si>
  <si>
    <t>Габзагиров Андрей Рамильевич</t>
  </si>
  <si>
    <t>договор купли продажи квартиры № 6120 от 08.10.2025 года.  (Рассрочка 15 лет)</t>
  </si>
  <si>
    <t>Жилой комплекс Лазурный квартал 2-6, Сарайшык 5Г - 16</t>
  </si>
  <si>
    <t>Гальберг Айгерим  Болатовна</t>
  </si>
  <si>
    <t>Договор купли продажи квартиры № 811 от 26.05.2021 г.  Рассрочка 15 лет</t>
  </si>
  <si>
    <t>Жилой комплекс Виктория, Б. Момышулы 2 - 127</t>
  </si>
  <si>
    <t>Ганжа Елена Владимировна</t>
  </si>
  <si>
    <t xml:space="preserve">договор купли продажи квартиры № 1016 от 14.04.2022 г. Рассрочка  на 15 лет </t>
  </si>
  <si>
    <t>Жилой комплекс Жагалау-3, 199 36/1 - 21</t>
  </si>
  <si>
    <t>Джапарова Алтынай</t>
  </si>
  <si>
    <t>договор купли продажи квартиры № 255 от 29.10.2020 г.
(Рассрочка 15 лет)</t>
  </si>
  <si>
    <t>ул. Кенен Азирбаев, дом 6/3, кв. 54</t>
  </si>
  <si>
    <t>Елшибаев Ерзат Зейноллаевич</t>
  </si>
  <si>
    <t>договор купли продажи квартиры № 2222 от 30 июля 2022 года  сроком рассрочки на 15 лет</t>
  </si>
  <si>
    <t>ул. Кенен Азирбаев, дом 6/2, кв. 42</t>
  </si>
  <si>
    <t>Ескалиева Анель Азаматовна</t>
  </si>
  <si>
    <t>договор купли продажи квартиры № 4 от 11.01.2022 г</t>
  </si>
  <si>
    <t>Жилой комплекс Сапа-2007, 188 7 – 205</t>
  </si>
  <si>
    <t>Жантасов Журсун Мирамгалиевич</t>
  </si>
  <si>
    <t xml:space="preserve">договор купли-продажи квартиры № 5349 от 11.07.2025 г. (Рассрочка  15 лет) </t>
  </si>
  <si>
    <t>Жилой комплекс Сармат-2, Сауран 3/1 - 358</t>
  </si>
  <si>
    <t>Договор купли продажи квартиры № 2961 от 13 марта 2025 г. Рассрочка 15 лет</t>
  </si>
  <si>
    <t>Жилой комплекс Акку, ул. Е30, дом 5, кв. 470</t>
  </si>
  <si>
    <t>Заетова Назира Ахметкызы</t>
  </si>
  <si>
    <t>договор купли продажи квартиры № 850 от 1.04.2022 г. сроком рассрочки на 15 лет</t>
  </si>
  <si>
    <t>Жилой комплекс Виктория, Б. Момышулы 2 - 72</t>
  </si>
  <si>
    <t xml:space="preserve">Ибрагимова Сауле Муратжановна </t>
  </si>
  <si>
    <t>договор купли продажи квартиры № 2816 от 19.09.2022 г. Рассрочка  на 15 лет</t>
  </si>
  <si>
    <t>Жилой комплекс Сармат-2, Сауран 3/1 - 99</t>
  </si>
  <si>
    <t>Ильясова Аимгуль Ибиновна</t>
  </si>
  <si>
    <t>договор купли продажи квартиры № 99 от 18.01.2024 г. Рассрочка  на 15 лет</t>
  </si>
  <si>
    <t>Жилой комплекс Сапа-2007, 188 7 – 248</t>
  </si>
  <si>
    <t>Иманкулов Жанибек Рустемович</t>
  </si>
  <si>
    <t xml:space="preserve">договор купли-продажи квартиры № 2818 от 19.09.2022 г.               (Рассрочка  15 лет) </t>
  </si>
  <si>
    <t>Жилой комплекс Жагалау-3, 199 36/1 – 39</t>
  </si>
  <si>
    <t>Кабаков Серик Аманжолович</t>
  </si>
  <si>
    <t xml:space="preserve">договор купли-продажи квартиры № 2672 от 24.05.2024г.                 (Рассрочка  15 лет) </t>
  </si>
  <si>
    <t>Жилой комплекс "Сармат-2" ул. Сауран 3/1 кв.33</t>
  </si>
  <si>
    <t>Кадырманова Мадина Канатбековна</t>
  </si>
  <si>
    <t>договор купли продажи квартиры № 3281 от 28.03.2025 г. Рассрочка 15 лет</t>
  </si>
  <si>
    <t>Жилой комплекс Сапа-2007, 188 7 - 240</t>
  </si>
  <si>
    <t>Кажыбаева Айжан Төлеубайқызы</t>
  </si>
  <si>
    <t>договор купли-продажи квартиры № 1977 от 24.12.2021 г. (рассрочка 15 лет)</t>
  </si>
  <si>
    <t>Жилой комплекс Сапа-2007, 188 7 – 266</t>
  </si>
  <si>
    <t>Кайсарова Гулнур Советханқызы</t>
  </si>
  <si>
    <t xml:space="preserve">договор купли-продажи квартиры № 745 от 17.03.2022 г. (Рассрочка  15 лет) </t>
  </si>
  <si>
    <t>Жилой комплекс Жагалау-3, 199 36/1 - 24</t>
  </si>
  <si>
    <t>Кампаев Касым Бельгидаевич</t>
  </si>
  <si>
    <t>договор купли продажи квартиры № 399 от 18.03.2021 г.
(Рассрочка 15 лет)</t>
  </si>
  <si>
    <t>Жилой комплекс Лазурный квартал 1-1, Сарайшык 5В - 83</t>
  </si>
  <si>
    <t>Караре Виктор</t>
  </si>
  <si>
    <t>Жилой комплекс Жагалау-3, 199 36/1 – 25</t>
  </si>
  <si>
    <t>Касымова Анар Касымовна</t>
  </si>
  <si>
    <t xml:space="preserve">договор купли-продажи квартиры № 5268 от 26.09.2023г.                (Рассрочка  15 лет) </t>
  </si>
  <si>
    <t>Жилой комплекс Сармат-2, Сауран 3/1 - 41</t>
  </si>
  <si>
    <t>Кондя Наталья  Анатольевна</t>
  </si>
  <si>
    <t>договор купли продажи квартиры № 743 от 17.03.2022 г. Рассрочка  на 15 лет</t>
  </si>
  <si>
    <t>Жилой комплекс Лазурный квартал 2-5, Сарайшык 5Г - 12</t>
  </si>
  <si>
    <t>Косырев Алексей Николаевич</t>
  </si>
  <si>
    <t>договор купли продажи квартиры № 2490 от 06.06.2023 г.Рассрочка  на 15 лет</t>
  </si>
  <si>
    <t>Жилой комплекс Жагалау-3, 199 36/1 - 16</t>
  </si>
  <si>
    <t>Котлобаева Инесса Игоревна</t>
  </si>
  <si>
    <t>договор купли продажи квартиры № 180 от 20.10.2020 г.
(Рассрочка 10 лет)</t>
  </si>
  <si>
    <t>Жилой комплекс Зерде, Кудайбердыулы 4 - 82</t>
  </si>
  <si>
    <t>Кульбеков Аскен Кенесович</t>
  </si>
  <si>
    <t>договор купли-продажи квартиры № 1017 от 14.04.2022 г. (рассрочка 15 лет)</t>
  </si>
  <si>
    <t>Жилой комплекс Сармат-2, Сауран 3/1 - 310</t>
  </si>
  <si>
    <t>Кургузкина Ирина Сергеевна</t>
  </si>
  <si>
    <t>Договор купли продажи квартиры № 470 от 22 января 2025 г. Рассрочка 15 лет</t>
  </si>
  <si>
    <t>Жилой комплекс Сапа-2007, 188 7 – 195</t>
  </si>
  <si>
    <t>Қаратаева Индира Тынысбекқызы</t>
  </si>
  <si>
    <t xml:space="preserve">договор купли-продажи квартиры № 99 от 28.01.2022 г. (Рассрочка  15 лет) </t>
  </si>
  <si>
    <t>Жилой комплекс Виктория, Б. Момышулы 2 - 135</t>
  </si>
  <si>
    <t xml:space="preserve">Маулетова Сауле Аскаровна </t>
  </si>
  <si>
    <t>Договор купли продажи с рассрочкой платежа № 2849 от 31 октября 2024 г. Рассрочка  на 15 лет</t>
  </si>
  <si>
    <t>Жилой комплекс Сапа-2007, 188 7 - 264</t>
  </si>
  <si>
    <t>Морозова Олеся Алексеевна</t>
  </si>
  <si>
    <t>договор купли-продажи квартиры № 1915 от 13.12.2021 г.                                 (рассрочка 15 лет)</t>
  </si>
  <si>
    <t>Жилой комплекс Зерде, ул. Кудайбердыулы 4 кв. 36</t>
  </si>
  <si>
    <t>Мустафина Махаббат Сабырбекқызы</t>
  </si>
  <si>
    <t>договор купли продажи квартиры № 905 от 11 июня 2021 г. Рассрочка 15 лет</t>
  </si>
  <si>
    <t>Жилой комплекс Жагалау-3, 199 36/1 - 29</t>
  </si>
  <si>
    <t>Мүсілімова Нұргул Жанатқызы</t>
  </si>
  <si>
    <t>договор купли продажи квартиры № 901 от 11.06.2021 г.
(Рассрочка 15 лет)</t>
  </si>
  <si>
    <t>Жилой комплекс Сапа-2007, 188 7 - 199</t>
  </si>
  <si>
    <t xml:space="preserve">Набрешов Нурхан Ракымжановия </t>
  </si>
  <si>
    <t>договор купли-продажи квартиры № 1432 от 23.09.2021 г. (рассрочка 15 лет)</t>
  </si>
  <si>
    <t>Жилой комплекс Акку, ул. Е30, дом 5, кв. 176</t>
  </si>
  <si>
    <t>Накыспеков Серик Жаканулы</t>
  </si>
  <si>
    <t>договор купли продажи квартиры № 754 от 27.02.2023 г. сроком рассрочки на 15 лет</t>
  </si>
  <si>
    <t>Жилой комплекс Сармат-2, Сауран 3/1 - 405</t>
  </si>
  <si>
    <t>Нельдыбаев Асет Тулегенович</t>
  </si>
  <si>
    <t>договор купли продажи квартиры № 931 от 30.03.2023 г. Рассрочка  на 15 лет</t>
  </si>
  <si>
    <t>ул. Кенен Азирбаев, дом 6/2, кв. 25</t>
  </si>
  <si>
    <t>Нурмухамет Галымжан Жұмағалиұлы</t>
  </si>
  <si>
    <t>договор купли продажи квартиры № 129 от 4 февраля 2022 г. сроком рассрочки на 15 лет</t>
  </si>
  <si>
    <t>Жилой комплекс Сапа-2007, 188 7 – 175</t>
  </si>
  <si>
    <t>Нурмуханов Жанат Шопаевич</t>
  </si>
  <si>
    <t>договор купли-продажи квартиры № 3280 от 28.03.2025 г. (Рассрочка на 15 лет )</t>
  </si>
  <si>
    <t>Жилой комплекс Лазурный квартал 2-6, Сарайшык 5Д - 9</t>
  </si>
  <si>
    <t>Омарова Жанна Жанузаковна</t>
  </si>
  <si>
    <t>договор купли продажи квартиры № 4604 от 14 мая 2025 года. Рассрочка на 15 лет</t>
  </si>
  <si>
    <t>Жилой комплекс Жагалау-3, 199 36/1 - 15</t>
  </si>
  <si>
    <t>Садвакасова Меиз Сериковна</t>
  </si>
  <si>
    <t>договор купли продажи квартиры № 447 от 26.11.2020 г.
(Рассрочка 15 лет)</t>
  </si>
  <si>
    <t>ул. Кенен Азирбаев, дом 6/4, кв. 46</t>
  </si>
  <si>
    <t>Салаватова Дина Мажитовна</t>
  </si>
  <si>
    <t>договор купли продажи квартиры № 5 от 11.01.2022 г сроком рассрочки на 15 лет</t>
  </si>
  <si>
    <t>Жилой комплекс Жагалау-3, 199 36/1 - 34</t>
  </si>
  <si>
    <t>Сапарова Балжан Жумабековна</t>
  </si>
  <si>
    <t>договор купли продажи квартиры № 903 от 11.06.2021 г.
(Рассрочка 15 лет)</t>
  </si>
  <si>
    <t>Жилой комплекс Жагалау-3, 199 36/1 – 38</t>
  </si>
  <si>
    <t>Саржанов Аскар Жумабергенович</t>
  </si>
  <si>
    <t xml:space="preserve">договор купли-продажи квартиры № 751 от 18.03.2022 г. (Рассрочка  15 лет) </t>
  </si>
  <si>
    <t>Жилой комплекс Жагалау-3, 199 36/1 - 14</t>
  </si>
  <si>
    <t xml:space="preserve">Сарсембаев Ермек Мураткалиевич </t>
  </si>
  <si>
    <t>договор купли продажи квартиры №1385 от 15.09.2021 г.
(Рассрочка 15 лет)</t>
  </si>
  <si>
    <t>Жилой комплекс Жагалау-3, 199 36 - 396</t>
  </si>
  <si>
    <t>Сахно Елена Юрьевна</t>
  </si>
  <si>
    <t xml:space="preserve">договор купли-продажи квартиры № 477 от 13.02.2023г.                (Рассрочка  15 лет) </t>
  </si>
  <si>
    <t xml:space="preserve">Жилой комплекс Виктория ул. Б.Момышұлы д.2 кв.125 </t>
  </si>
  <si>
    <t xml:space="preserve">Сәдуақасов Ербол Семғалиұлы </t>
  </si>
  <si>
    <t>Договор купли продажи квартиры № 809 от 26.05.2021 года  (рассрочка 15 лет)</t>
  </si>
  <si>
    <t xml:space="preserve">Жилой комплекс Виктория ул. Б.Момышұлы д.2 кв.131 </t>
  </si>
  <si>
    <t xml:space="preserve">Султангазина Асия Амангельдиновна </t>
  </si>
  <si>
    <t>Договор купли продажи квартиры № 1436 от 23.09.2021 г. (рассрочка 15 лет)</t>
  </si>
  <si>
    <t>Жилой комплекс Сапа-2007, 188 7 - 201</t>
  </si>
  <si>
    <t>Султангазина Эльмира Амангельдыевна</t>
  </si>
  <si>
    <t>Жилой комплекс "Сармат-2" ул. Сауран 3/1 кв.455</t>
  </si>
  <si>
    <t xml:space="preserve">Танарыков Беимбет Тайкенович </t>
  </si>
  <si>
    <t>договор купли продажи квартиры № 395 от 18.03.2021 г. Рассрочка 15 лет</t>
  </si>
  <si>
    <t xml:space="preserve">Жилой комплекс Виктория ул. Б.Момышұлы д.2 кв.139 </t>
  </si>
  <si>
    <t>Тасбергенова Гаухар Кошкарбековна</t>
  </si>
  <si>
    <t>Жилой комплекс Зерде, Кудайбердыулы 4 - 41</t>
  </si>
  <si>
    <t>Ташкенбаев Ерболат Мамырбаевич</t>
  </si>
  <si>
    <t>договор купли продажи квартиры  №1814 от 19.11.2021 г.  рассрочка 15 лет</t>
  </si>
  <si>
    <t>Жилой комплекс Жагалау-3, 199 36/1 - 28</t>
  </si>
  <si>
    <t xml:space="preserve">Темирбеков Руслан Болатбекович </t>
  </si>
  <si>
    <t>договор купли продажи квартиры № 1503 от 6.10.2021 г.
(Рассрочка 15 лет)</t>
  </si>
  <si>
    <t>Жилой комплекс Лазурный квартал 1-1, Сарайшык 5В - 82</t>
  </si>
  <si>
    <t xml:space="preserve">Ткаченко Любовь Валерьевна </t>
  </si>
  <si>
    <t>договор купли продажи квартиры № 4606 от 14 мая 2025 г.Рассрочка  на 15 лет</t>
  </si>
  <si>
    <t>Жилой комплекс Жагалау-3, 199 36/1 - 18</t>
  </si>
  <si>
    <t xml:space="preserve">Ткенева Динара Енгибаевна </t>
  </si>
  <si>
    <t>Жилой комплекс Акку, ул. Е30, дом 5, кв. 478</t>
  </si>
  <si>
    <t>Токтар Айбар Муратулы</t>
  </si>
  <si>
    <t>Договор купли-продажи квартиры № 2163 от 05.07.2022 г. сроком рассрочки на 15 лет</t>
  </si>
  <si>
    <t>Жилой комплекс Общежитие, Республики 81 - 519</t>
  </si>
  <si>
    <t>Турымбетов Кайрат Насиралиевич</t>
  </si>
  <si>
    <t>Договор купли-продажи квартиры № 139 от 26.01.2023 г. (Расрочка 15 лет)</t>
  </si>
  <si>
    <t>Жилой комплекс "Сармат-2" ул. Сауран 3/1 кв.406</t>
  </si>
  <si>
    <t>Умаров Станислав Каримович</t>
  </si>
  <si>
    <t>договор купли продажи квартиры № 1434 от 23.09.2021 г. Рассрочка 15 лет</t>
  </si>
  <si>
    <t>Жилой комплекс Лазурный квартал 2-6, Сарайшык 5Д - 16</t>
  </si>
  <si>
    <t>Усик Александр Александрович</t>
  </si>
  <si>
    <t>договор купли продажи квартиры № 1678 от 03.11.2021 г Рассрочка 15 лет</t>
  </si>
  <si>
    <t>Жилой комплекс "Сармат-2" ул. Сауран 3/1 кв. 412</t>
  </si>
  <si>
    <t xml:space="preserve">Хамзаева Асемгул Хамзаевна </t>
  </si>
  <si>
    <t>договор купли продажи квартиры № 592 от 22.04.2021 г. Рассрочка 15 лет</t>
  </si>
  <si>
    <t>Жилой комплекс Лазурный квартал 2-6, Сарайшык 5Д - 14</t>
  </si>
  <si>
    <t>Чайников Евгений Александрович</t>
  </si>
  <si>
    <t>договор купли продажи квартиры № 741 от 17.03.2022 г. Рассрочка на 15 лет</t>
  </si>
  <si>
    <t>Жилой комплекс Сармат-2, Сауран 3/1 - 228</t>
  </si>
  <si>
    <t>Чотабаев Медет Мухамедсадыкович</t>
  </si>
  <si>
    <t>договор купли продажи квартиры  № 1402 от 12.07.2024 г. Рассрочка  на 15 лет</t>
  </si>
  <si>
    <t xml:space="preserve">Жилой комплекс НУР-САЯ ул. Достык 13/2 квартира 111 </t>
  </si>
  <si>
    <t>Шакимова Молдир Дюсенбаевна</t>
  </si>
  <si>
    <t xml:space="preserve">договор купли продажи квартиры № 217 от 25.02.2022 г. (рассрочка на 15 лет) </t>
  </si>
  <si>
    <t>Жилой комплекс Общежитие, Республики 81 - 324</t>
  </si>
  <si>
    <t>Шауаханов Нурлан Кайратович</t>
  </si>
  <si>
    <t>Договор купли продажи квартиры № 6310 от 30.11.2023 г (рассрочка 15 лет)</t>
  </si>
  <si>
    <t>Жилой комплекс Жагалау-3, 199 36/1 - 36</t>
  </si>
  <si>
    <t xml:space="preserve">Шаштаулетова Екатерина Геннадьевна </t>
  </si>
  <si>
    <t>договор купли-продажи квартиры № 1816 от 12.11.2021 г. (Рассрочка 15 лет)</t>
  </si>
  <si>
    <t>Первоначальная стоймость</t>
  </si>
  <si>
    <t>Реализованные квартиры в рассрочку</t>
  </si>
  <si>
    <t>Ежемесячный платеж</t>
  </si>
  <si>
    <t>Дата последнего платежа по договору</t>
  </si>
  <si>
    <t>Договор купли продажи квартиры № 331 от  05.11.2020 г.   Рассрочка 5 лет</t>
  </si>
  <si>
    <t>Жукеева Индира Сериковна</t>
  </si>
  <si>
    <t>за 2025 год</t>
  </si>
  <si>
    <t>за 2027 год</t>
  </si>
  <si>
    <t>за 2028 год</t>
  </si>
  <si>
    <t>за 2029 год</t>
  </si>
  <si>
    <t>за 2030 год</t>
  </si>
  <si>
    <t>за 2031 год</t>
  </si>
  <si>
    <t>за 2032 год</t>
  </si>
  <si>
    <t>за 2033 год</t>
  </si>
  <si>
    <t>за 2034 год</t>
  </si>
  <si>
    <t>за 2035 год</t>
  </si>
  <si>
    <t>за 2036 год</t>
  </si>
  <si>
    <t>за 2037 год</t>
  </si>
  <si>
    <t>за 2038 год</t>
  </si>
  <si>
    <t>за 2039 год</t>
  </si>
  <si>
    <t>за 2040 год</t>
  </si>
  <si>
    <t>ИТОГО ОБЩАЯ СУММА</t>
  </si>
  <si>
    <t>за 2020</t>
  </si>
  <si>
    <t>за 2021</t>
  </si>
  <si>
    <t xml:space="preserve">за 2022 </t>
  </si>
  <si>
    <t>за 2023</t>
  </si>
  <si>
    <t>за 2024</t>
  </si>
  <si>
    <t>договор купли-продажи квартиры № 518 от 06.04.2021 г.                                 (рассрочка 15 лет) ВЫКУПЛЕНА 19.11.2025</t>
  </si>
  <si>
    <t>Жилой комплекс Хан-тенгри, Сембинова 7 - 15</t>
  </si>
  <si>
    <t xml:space="preserve">Аргынбаев Максат Айдарханұлы  </t>
  </si>
  <si>
    <t xml:space="preserve">Жилой комплекс НУР-САЯ г. Астана, ул. Достык, дом 13/2, квартира 120  </t>
  </si>
  <si>
    <t xml:space="preserve">Байгожин Сундет Абдрахманович              </t>
  </si>
  <si>
    <t xml:space="preserve">Жилой комплекс НУР-САЯ г. Астана, ул. Достык, дом 13/2, квартира 116 </t>
  </si>
  <si>
    <t xml:space="preserve">Басбаева Мадина Куандыковна                                  </t>
  </si>
  <si>
    <t>Жилой комплекс Общежитие, Республики 81, 402</t>
  </si>
  <si>
    <t>Баянбаев Даулетхан Курмангалиевич</t>
  </si>
  <si>
    <t>Жилой комплекс Хан-тенгри, Сембинова 7 - 132</t>
  </si>
  <si>
    <t xml:space="preserve">Безбородова Елена Владимировна </t>
  </si>
  <si>
    <t xml:space="preserve">Жилой комплекс НУР-САЯ г. Астана, ул. Достык, дом 13/2, квартира 110 </t>
  </si>
  <si>
    <t>Бекетаева Айгерим Болатбековна</t>
  </si>
  <si>
    <t>Жилой комплекс Общежитие, Республики 81, 425</t>
  </si>
  <si>
    <t>Бекназар Майя Сагындыковна</t>
  </si>
  <si>
    <t>Жилой комплекс Общежитие, Республики 81 - 414</t>
  </si>
  <si>
    <t>Газиева Юлия Амирчупановна</t>
  </si>
  <si>
    <t xml:space="preserve">Жилой комплекс НУР-САЯ г. Астана, ул. Достык, дом 13/2, квартира 81 </t>
  </si>
  <si>
    <t xml:space="preserve">Гатауов Таир Талгатович                             </t>
  </si>
  <si>
    <t>Жилой комплекс Общежитие, Республики 81, 526</t>
  </si>
  <si>
    <t>Джафарова Руслана Олеговна</t>
  </si>
  <si>
    <t xml:space="preserve">г. Астана, ул. Сембинова, дом 7, квартира 123             </t>
  </si>
  <si>
    <t xml:space="preserve">Жагипарова Шолпан Асановна </t>
  </si>
  <si>
    <t xml:space="preserve">г. Астана, ул. Сембинова, дом 7, квартира 138            </t>
  </si>
  <si>
    <t xml:space="preserve">Куанышбекова Дана Маратқызы  </t>
  </si>
  <si>
    <t>Жилой комплекс Жагалау-3, 199 36/1 – 33</t>
  </si>
  <si>
    <t>Молдахметов Шынгыс Жарасбекулы</t>
  </si>
  <si>
    <t xml:space="preserve">г. Астана, ул. Сембинова,  дом 7, квартира 27                    </t>
  </si>
  <si>
    <t xml:space="preserve">Мукашева Асель Бейбитовна </t>
  </si>
  <si>
    <t xml:space="preserve">г. Астана, ул. Сембинова, дом 7, квартира 160               </t>
  </si>
  <si>
    <t xml:space="preserve">Науанов Рахметулла Алтынбекович </t>
  </si>
  <si>
    <t>Жилой комплекс Хан-тенгри, Сембинова 7 - 30</t>
  </si>
  <si>
    <t>Низамутдинова Елена Нурислямовна</t>
  </si>
  <si>
    <t>Жилой комплекс Хан-тенгри, Сембинова 7 - 187</t>
  </si>
  <si>
    <t>Нуркей Роза Сапабеккызы</t>
  </si>
  <si>
    <t>Жилой комплекс Хан-тенгри, Сембинова 7 - 126</t>
  </si>
  <si>
    <t xml:space="preserve">Нурланова Нургуль Ериковна </t>
  </si>
  <si>
    <t xml:space="preserve">Жилой комплекс НУР-САЯ г. Астана, ул. Достык, дом 13/2, квартира 114 </t>
  </si>
  <si>
    <t xml:space="preserve">Рустемова Анеля Рустемовна                   </t>
  </si>
  <si>
    <t>Жилой комплекс Хан-тенгри, Сембинова 7 - 144</t>
  </si>
  <si>
    <t xml:space="preserve">Сарсембаев Жанат Даулетович </t>
  </si>
  <si>
    <t xml:space="preserve">Жилой комплекс НУР-САЯ г. Астана, ул. Достык, дом 13/2, квартира 115 </t>
  </si>
  <si>
    <t xml:space="preserve">Сарсембаев Саят Даулетович                                    </t>
  </si>
  <si>
    <t xml:space="preserve">Жилой комплекс НУР-САЯ г. Астана, ул. Достык, дом 13/2, квартира 78 </t>
  </si>
  <si>
    <t xml:space="preserve">Семенова Елена Владимировна                     </t>
  </si>
  <si>
    <t xml:space="preserve">Жилой комплекс НУР-САЯ г. Астана, ул. Достык, дом 13/2, квартира 75 </t>
  </si>
  <si>
    <t xml:space="preserve">Спатаев Арманбек Турганбекович  </t>
  </si>
  <si>
    <t>Жилой комплекс Зерде, Кудайбердыулы 4 - 78</t>
  </si>
  <si>
    <t>Татмаков Талгар Аскарович</t>
  </si>
  <si>
    <t>Жилой комплекс Жагалау-3, 199 36/1 - 19</t>
  </si>
  <si>
    <t>Токпанов Алмаз Серикович</t>
  </si>
  <si>
    <t xml:space="preserve">Жилой комплекс Москва  г. Астана, ул. Иманова, д. 17, кв. 63 </t>
  </si>
  <si>
    <t>Усина Гаухар Елдосовна</t>
  </si>
  <si>
    <t>Жилой комплекс НУР-САЯ ул. Достык, дом 13/2, квартира 72</t>
  </si>
  <si>
    <t xml:space="preserve">Шайкенова Асель Дулатовна                        </t>
  </si>
  <si>
    <t xml:space="preserve">договор купли продажи квартиры № 6214 от 20.11.2023 г. (100% оплата)   </t>
  </si>
  <si>
    <t xml:space="preserve">договор купли продажи № 610 от 09.04.2019 г.  (100% оплата) </t>
  </si>
  <si>
    <t>договор купли продажи № 4400 от 27.12.2019 г.  (рассрочка на 5 лет)</t>
  </si>
  <si>
    <t>договор купли продажи квартиры №  1680 от 03.11.2021 года.  (Рассрочка 15 лет) 100% выкупил</t>
  </si>
  <si>
    <t xml:space="preserve">договор купли продажи квартиры № 5684 от 05.09.2025 г. (100% оплата)    </t>
  </si>
  <si>
    <t xml:space="preserve">договор купли продажи № 429 от 27.08.2020 г. (100% оплата) </t>
  </si>
  <si>
    <t>договор купли продажи №568 от 15.04.2021 года. рассрочка на 15 лет. 22.07.2021 полный выкуп 100% платеж от 22.07.21 г.</t>
  </si>
  <si>
    <t xml:space="preserve">договор купли продажи № 563 от 02.04.2019 г.  (рассрочка 5 лет) </t>
  </si>
  <si>
    <t>договор купли продажи № 711 от 14 мая 2021 г. (Рассрочка  15 лет) полный выкуп 19.12.2023 г.</t>
  </si>
  <si>
    <t xml:space="preserve">договор купли продажи № 565 от 15.04.2021 г. (100% оплата) </t>
  </si>
  <si>
    <t>договор купли продажи № 1387 от 15.09.2021 г.  (рассрочка на 5 лет)</t>
  </si>
  <si>
    <t>Договор купли-продажи квартиры с рассрочкой №94 от 27.01.2022  (Рассрочка  15 лет), Выкуп полностью  23.09.2025</t>
  </si>
  <si>
    <t xml:space="preserve">договор купли продажи № 330 от 05.11.2020 г. (рассрочка на 5 лет) </t>
  </si>
  <si>
    <t>договор купли продажи № 955 от 18.06.2021 г. (100% оплата)</t>
  </si>
  <si>
    <t>Договору купли-продажи квартиры №4399 от 27.12.2019 (100% оплата)</t>
  </si>
  <si>
    <t>Договору купли-продажи квартиры с рассрочкой №4397 от 27.12.2019 (выкуп в 2022 году)</t>
  </si>
  <si>
    <t xml:space="preserve">договор купли продажи квартиры № 5593 от 12.10.2023 г. (100% оплата)    </t>
  </si>
  <si>
    <t xml:space="preserve">договор купли продажи № 1090 от 04.06.2019 г.  (100% оплата) </t>
  </si>
  <si>
    <t>договор купли продажи квартиры № 5703 от 30.12.2024 г. (100% оплата)</t>
  </si>
  <si>
    <t>договор купли продажи № 611 от 09.04.2019 г.  (рассрочка на 5 лет)</t>
  </si>
  <si>
    <t>договор купли продажи № 564 от 02.04.2019 г.  (100% оплата)</t>
  </si>
  <si>
    <t>договор купли продажи № 740 от 30.04.2019 г.  (рассрочка 5 лет)</t>
  </si>
  <si>
    <t>договор купли продажи квартиры № 951 от  11.04.2022 г (прямая продажа)</t>
  </si>
  <si>
    <t>договор купли продажи квартиры № 182 от 20.10.2020 г.
(Рассрочка 3 лет)                   100% выкупил 2022 г</t>
  </si>
  <si>
    <t>договор купли-продажи квартиры № 739 от 30.04.2019 г. (100% оплата)</t>
  </si>
  <si>
    <t>договор купли продажи № 741 от 30.04.2019 г.  (100% оплата)</t>
  </si>
  <si>
    <t>Договор купли-продажи квартиры с рассрочкой №218 от 25.02.2022  (Рассрочка  15 лет), полный выкуп 11.04.2022</t>
  </si>
  <si>
    <t>за 2019</t>
  </si>
  <si>
    <t>Кужамжарова Мадина Ермеккызы</t>
  </si>
  <si>
    <t>Договору купли-продажи квартиры с рассрочкой от 08 декабря 2025 года № 6707</t>
  </si>
  <si>
    <t>Жилой комплекс Акку, ул. Е30, дом 5, кв. 192</t>
  </si>
  <si>
    <t>договор купли продажи квартиры № 749 от 18.03.2022 г. Рассрочка на 10 лет Выкуплена</t>
  </si>
  <si>
    <t>договор купли-продажи квартиры № 1389 от 15.09.2021 г. сроком рассрочки на 15 лет выкуплена</t>
  </si>
  <si>
    <t>Жилой комплекс Жагалау-3, 199 36/1-20</t>
  </si>
  <si>
    <t>Килибаева Толкын Оразгалиевна</t>
  </si>
  <si>
    <t>Договору купли-продажи квартиры с рассрочкой от 09 января 2026 года № 26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</si>
  <si>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</si>
  <si>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</si>
  <si>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</si>
  <si>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</si>
  <si>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</si>
  <si>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</si>
  <si>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</si>
  <si>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</si>
  <si>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</si>
  <si>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</si>
  <si>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</si>
  <si>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</si>
  <si>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год</t>
  </si>
  <si>
    <t>Жаймаганбетов Аян Баянбаевич</t>
  </si>
  <si>
    <t>Договор купли-продажи квартиры с рассрочкой от 27 января 2026 года № 141</t>
  </si>
  <si>
    <t>Жилой комплекс "Сармат-2" ул. Сауран 3/1 кв.268</t>
  </si>
  <si>
    <t>Сахова Мөлдір Нұралбекқызы</t>
  </si>
  <si>
    <t>Жилой комплекс Сапа-2007, 188 7 - 258</t>
  </si>
  <si>
    <t xml:space="preserve"> Договор купли-продажи квартиры с рассрочкой от 27 января 2026 года № 143</t>
  </si>
  <si>
    <t>Жилой комплекс Акку, ул. Е30, дом 5, кв. 45</t>
  </si>
  <si>
    <t>Ғұмар Сұлтанбек Нұрлыбекұлы</t>
  </si>
  <si>
    <t>Договор купли-продажи квартиры с рассрочкой от 27 февраля 2026 года № 536</t>
  </si>
  <si>
    <t>Договор купли продажи квартиры № 907 от 11.06.2021 года (рассрочка 15 лет) выкупила квартиру 04.03.2026</t>
  </si>
  <si>
    <t>договор купли продажи квартиры № 1507 от 6.10.2021 г. Выкупила 19.01.2026 года
(Рассрочка 15 лет)</t>
  </si>
  <si>
    <t>Задолжности на 31.03.2026 по договорам с рассрочкой.</t>
  </si>
  <si>
    <t>переплата</t>
  </si>
  <si>
    <t>Переплата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</si>
</sst>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24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4" fontId="0" fillId="0" borderId="1" xfId="0" applyNumberFormat="1" applyBorder="1"/>
    <xf numFmtId="4" fontId="0" fillId="0" borderId="0" xfId="0" applyNumberFormat="1"/>
    <xf numFmtId="0" fontId="0" fillId="3" borderId="1" xfId="0" applyFill="1" applyBorder="1"/>
    <xf numFmtId="0" fontId="15" fillId="2" borderId="1" xfId="0" applyFont="1" applyFill="1" applyBorder="1" applyAlignment="1">
      <alignment horizontal="center" vertical="center" wrapText="1"/>
    </xf>
    <xf numFmtId="4" fontId="15" fillId="2" borderId="1" xfId="0" applyNumberFormat="1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17" fontId="15" fillId="2" borderId="2" xfId="0" applyNumberFormat="1" applyFont="1" applyFill="1" applyBorder="1" applyAlignment="1">
      <alignment horizontal="center" vertical="center" wrapText="1"/>
    </xf>
    <xf numFmtId="17" fontId="19" fillId="2" borderId="2" xfId="0" applyNumberFormat="1" applyFont="1" applyFill="1" applyBorder="1" applyAlignment="1">
      <alignment horizontal="center" vertical="center" wrapText="1"/>
    </xf>
    <xf numFmtId="4" fontId="15" fillId="0" borderId="0" xfId="0" applyNumberFormat="1" applyFont="1"/>
    <xf numFmtId="0" fontId="15" fillId="0" borderId="0" xfId="0" applyFont="1"/>
    <xf numFmtId="0" fontId="14" fillId="5" borderId="1" xfId="0" applyFont="1" applyFill="1" applyBorder="1" applyAlignment="1">
      <alignment horizontal="center" wrapText="1"/>
    </xf>
    <xf numFmtId="0" fontId="14" fillId="5" borderId="1" xfId="0" applyFont="1" applyFill="1" applyBorder="1" applyAlignment="1">
      <alignment horizontal="left" wrapText="1"/>
    </xf>
    <xf numFmtId="0" fontId="14" fillId="5" borderId="1" xfId="0" applyFont="1" applyFill="1" applyBorder="1" applyAlignment="1">
      <alignment wrapText="1"/>
    </xf>
    <xf numFmtId="4" fontId="13" fillId="5" borderId="1" xfId="0" applyNumberFormat="1" applyFont="1" applyFill="1" applyBorder="1" applyAlignment="1">
      <alignment wrapText="1"/>
    </xf>
    <xf numFmtId="4" fontId="14" fillId="5" borderId="1" xfId="0" applyNumberFormat="1" applyFont="1" applyFill="1" applyBorder="1" applyAlignment="1">
      <alignment horizontal="right" wrapText="1"/>
    </xf>
    <xf numFmtId="4" fontId="0" fillId="5" borderId="1" xfId="0" applyNumberFormat="1" applyFill="1" applyBorder="1"/>
    <xf numFmtId="14" fontId="0" fillId="5" borderId="3" xfId="0" applyNumberFormat="1" applyFill="1" applyBorder="1"/>
    <xf numFmtId="4" fontId="15" fillId="5" borderId="1" xfId="0" applyNumberFormat="1" applyFont="1" applyFill="1" applyBorder="1"/>
    <xf numFmtId="0" fontId="0" fillId="5" borderId="0" xfId="0" applyFill="1"/>
    <xf numFmtId="4" fontId="0" fillId="5" borderId="3" xfId="0" applyNumberFormat="1" applyFill="1" applyBorder="1"/>
    <xf numFmtId="0" fontId="10" fillId="5" borderId="1" xfId="0" applyFont="1" applyFill="1" applyBorder="1" applyAlignment="1">
      <alignment wrapText="1"/>
    </xf>
    <xf numFmtId="0" fontId="0" fillId="6" borderId="0" xfId="0" applyFill="1"/>
    <xf numFmtId="0" fontId="14" fillId="6" borderId="1" xfId="0" applyFont="1" applyFill="1" applyBorder="1" applyAlignment="1">
      <alignment horizontal="center" wrapText="1"/>
    </xf>
    <xf numFmtId="0" fontId="14" fillId="6" borderId="1" xfId="0" applyFont="1" applyFill="1" applyBorder="1" applyAlignment="1">
      <alignment horizontal="left" wrapText="1"/>
    </xf>
    <xf numFmtId="4" fontId="15" fillId="6" borderId="1" xfId="0" applyNumberFormat="1" applyFont="1" applyFill="1" applyBorder="1"/>
    <xf numFmtId="4" fontId="19" fillId="6" borderId="1" xfId="0" applyNumberFormat="1" applyFont="1" applyFill="1" applyBorder="1"/>
    <xf numFmtId="0" fontId="14" fillId="6" borderId="1" xfId="0" applyFont="1" applyFill="1" applyBorder="1" applyAlignment="1">
      <alignment wrapText="1"/>
    </xf>
    <xf numFmtId="0" fontId="17" fillId="6" borderId="1" xfId="0" applyFont="1" applyFill="1" applyBorder="1" applyAlignment="1">
      <alignment horizontal="left" wrapText="1"/>
    </xf>
    <xf numFmtId="0" fontId="9" fillId="5" borderId="1" xfId="0" applyFont="1" applyFill="1" applyBorder="1" applyAlignment="1">
      <alignment horizontal="left" wrapText="1"/>
    </xf>
    <xf numFmtId="0" fontId="9" fillId="5" borderId="1" xfId="0" applyFont="1" applyFill="1" applyBorder="1" applyAlignment="1">
      <alignment wrapText="1"/>
    </xf>
    <xf numFmtId="0" fontId="17" fillId="5" borderId="1" xfId="0" applyFont="1" applyFill="1" applyBorder="1" applyAlignment="1">
      <alignment horizontal="left" wrapText="1"/>
    </xf>
    <xf numFmtId="4" fontId="19" fillId="5" borderId="1" xfId="0" applyNumberFormat="1" applyFont="1" applyFill="1" applyBorder="1"/>
    <xf numFmtId="0" fontId="10" fillId="6" borderId="1" xfId="0" applyFont="1" applyFill="1" applyBorder="1" applyAlignment="1">
      <alignment horizontal="left" wrapText="1"/>
    </xf>
    <xf numFmtId="0" fontId="18" fillId="6" borderId="1" xfId="0" applyFont="1" applyFill="1" applyBorder="1" applyAlignment="1">
      <alignment wrapText="1"/>
    </xf>
    <xf numFmtId="0" fontId="18" fillId="5" borderId="1" xfId="0" applyFont="1" applyFill="1" applyBorder="1" applyAlignment="1">
      <alignment wrapText="1"/>
    </xf>
    <xf numFmtId="0" fontId="8" fillId="6" borderId="1" xfId="0" applyFont="1" applyFill="1" applyBorder="1" applyAlignment="1">
      <alignment wrapText="1"/>
    </xf>
    <xf numFmtId="4" fontId="15" fillId="6" borderId="3" xfId="0" applyNumberFormat="1" applyFont="1" applyFill="1" applyBorder="1"/>
    <xf numFmtId="4" fontId="17" fillId="5" borderId="1" xfId="0" applyNumberFormat="1" applyFont="1" applyFill="1" applyBorder="1" applyAlignment="1">
      <alignment horizontal="right"/>
    </xf>
    <xf numFmtId="4" fontId="9" fillId="5" borderId="1" xfId="0" applyNumberFormat="1" applyFont="1" applyFill="1" applyBorder="1" applyAlignment="1">
      <alignment wrapText="1"/>
    </xf>
    <xf numFmtId="4" fontId="0" fillId="4" borderId="0" xfId="0" applyNumberFormat="1" applyFill="1"/>
    <xf numFmtId="4" fontId="13" fillId="6" borderId="1" xfId="0" applyNumberFormat="1" applyFont="1" applyFill="1" applyBorder="1" applyAlignment="1">
      <alignment wrapText="1"/>
    </xf>
    <xf numFmtId="4" fontId="14" fillId="6" borderId="1" xfId="0" applyNumberFormat="1" applyFont="1" applyFill="1" applyBorder="1" applyAlignment="1">
      <alignment horizontal="right" wrapText="1"/>
    </xf>
    <xf numFmtId="4" fontId="0" fillId="6" borderId="1" xfId="0" applyNumberFormat="1" applyFill="1" applyBorder="1"/>
    <xf numFmtId="14" fontId="0" fillId="6" borderId="3" xfId="0" applyNumberFormat="1" applyFill="1" applyBorder="1"/>
    <xf numFmtId="4" fontId="0" fillId="6" borderId="3" xfId="0" applyNumberFormat="1" applyFill="1" applyBorder="1"/>
    <xf numFmtId="4" fontId="9" fillId="5" borderId="1" xfId="0" applyNumberFormat="1" applyFont="1" applyFill="1" applyBorder="1" applyAlignment="1">
      <alignment horizontal="right" wrapText="1"/>
    </xf>
    <xf numFmtId="0" fontId="0" fillId="5" borderId="1" xfId="0" applyFill="1" applyBorder="1" applyAlignment="1">
      <alignment wrapText="1"/>
    </xf>
    <xf numFmtId="0" fontId="7" fillId="5" borderId="1" xfId="0" applyFont="1" applyFill="1" applyBorder="1" applyAlignment="1">
      <alignment wrapText="1"/>
    </xf>
    <xf numFmtId="0" fontId="14" fillId="6" borderId="3" xfId="0" applyFont="1" applyFill="1" applyBorder="1" applyAlignment="1">
      <alignment wrapText="1"/>
    </xf>
    <xf numFmtId="0" fontId="6" fillId="6" borderId="1" xfId="0" applyFont="1" applyFill="1" applyBorder="1" applyAlignment="1">
      <alignment horizontal="left" wrapText="1"/>
    </xf>
    <xf numFmtId="0" fontId="5" fillId="6" borderId="1" xfId="0" applyFont="1" applyFill="1" applyBorder="1" applyAlignment="1">
      <alignment horizontal="left" wrapText="1"/>
    </xf>
    <xf numFmtId="0" fontId="13" fillId="6" borderId="1" xfId="0" applyFont="1" applyFill="1" applyBorder="1" applyAlignment="1">
      <alignment wrapText="1"/>
    </xf>
    <xf numFmtId="0" fontId="0" fillId="0" borderId="1" xfId="0" applyBorder="1"/>
    <xf numFmtId="0" fontId="15" fillId="0" borderId="1" xfId="0" applyFont="1" applyBorder="1"/>
    <xf numFmtId="4" fontId="0" fillId="7" borderId="1" xfId="0" applyNumberFormat="1" applyFill="1" applyBorder="1"/>
    <xf numFmtId="0" fontId="13" fillId="6" borderId="3" xfId="0" applyFont="1" applyFill="1" applyBorder="1" applyAlignment="1">
      <alignment wrapText="1"/>
    </xf>
    <xf numFmtId="0" fontId="4" fillId="6" borderId="1" xfId="0" applyFont="1" applyFill="1" applyBorder="1" applyAlignment="1">
      <alignment horizontal="left" wrapText="1"/>
    </xf>
    <xf numFmtId="0" fontId="4" fillId="5" borderId="1" xfId="0" applyFont="1" applyFill="1" applyBorder="1" applyAlignment="1">
      <alignment horizontal="left" wrapText="1"/>
    </xf>
    <xf numFmtId="4" fontId="15" fillId="8" borderId="1" xfId="0" applyNumberFormat="1" applyFont="1" applyFill="1" applyBorder="1"/>
    <xf numFmtId="4" fontId="15" fillId="8" borderId="3" xfId="0" applyNumberFormat="1" applyFont="1" applyFill="1" applyBorder="1"/>
    <xf numFmtId="4" fontId="19" fillId="6" borderId="3" xfId="0" applyNumberFormat="1" applyFont="1" applyFill="1" applyBorder="1"/>
    <xf numFmtId="0" fontId="3" fillId="6" borderId="1" xfId="0" applyFont="1" applyFill="1" applyBorder="1" applyAlignment="1">
      <alignment horizontal="left" wrapText="1"/>
    </xf>
    <xf numFmtId="0" fontId="13" fillId="5" borderId="1" xfId="0" applyFont="1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4" fontId="21" fillId="5" borderId="1" xfId="0" applyNumberFormat="1" applyFont="1" applyFill="1" applyBorder="1"/>
    <xf numFmtId="0" fontId="0" fillId="0" borderId="0" xfId="0" applyAlignment="1">
      <alignment horizontal="center"/>
    </xf>
    <xf numFmtId="0" fontId="22" fillId="0" borderId="0" xfId="0" applyFont="1"/>
    <xf numFmtId="14" fontId="0" fillId="0" borderId="0" xfId="0" applyNumberFormat="1" applyAlignment="1">
      <alignment horizontal="center"/>
    </xf>
    <xf numFmtId="4" fontId="15" fillId="5" borderId="3" xfId="0" applyNumberFormat="1" applyFont="1" applyFill="1" applyBorder="1"/>
    <xf numFmtId="4" fontId="17" fillId="6" borderId="1" xfId="0" applyNumberFormat="1" applyFont="1" applyFill="1" applyBorder="1" applyAlignment="1">
      <alignment horizontal="right"/>
    </xf>
    <xf numFmtId="4" fontId="17" fillId="5" borderId="3" xfId="0" applyNumberFormat="1" applyFont="1" applyFill="1" applyBorder="1" applyAlignment="1">
      <alignment horizontal="right"/>
    </xf>
    <xf numFmtId="4" fontId="13" fillId="6" borderId="3" xfId="0" applyNumberFormat="1" applyFont="1" applyFill="1" applyBorder="1" applyAlignment="1">
      <alignment wrapText="1"/>
    </xf>
    <xf numFmtId="0" fontId="14" fillId="5" borderId="3" xfId="0" applyFont="1" applyFill="1" applyBorder="1" applyAlignment="1">
      <alignment wrapText="1"/>
    </xf>
    <xf numFmtId="4" fontId="9" fillId="6" borderId="1" xfId="0" applyNumberFormat="1" applyFont="1" applyFill="1" applyBorder="1" applyAlignment="1">
      <alignment wrapText="1"/>
    </xf>
    <xf numFmtId="4" fontId="9" fillId="5" borderId="3" xfId="0" applyNumberFormat="1" applyFont="1" applyFill="1" applyBorder="1" applyAlignment="1">
      <alignment wrapText="1"/>
    </xf>
    <xf numFmtId="4" fontId="14" fillId="6" borderId="3" xfId="0" applyNumberFormat="1" applyFont="1" applyFill="1" applyBorder="1" applyAlignment="1">
      <alignment horizontal="right" wrapText="1"/>
    </xf>
    <xf numFmtId="0" fontId="12" fillId="6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horizontal="left" wrapText="1"/>
    </xf>
    <xf numFmtId="0" fontId="1" fillId="6" borderId="1" xfId="0" applyFont="1" applyFill="1" applyBorder="1" applyAlignment="1">
      <alignment wrapText="1"/>
    </xf>
    <xf numFmtId="0" fontId="3" fillId="5" borderId="1" xfId="0" applyFont="1" applyFill="1" applyBorder="1" applyAlignment="1">
      <alignment horizontal="left" wrapText="1"/>
    </xf>
    <xf numFmtId="4" fontId="19" fillId="8" borderId="3" xfId="0" applyNumberFormat="1" applyFont="1" applyFill="1" applyBorder="1"/>
    <xf numFmtId="4" fontId="15" fillId="9" borderId="1" xfId="0" applyNumberFormat="1" applyFont="1" applyFill="1" applyBorder="1"/>
    <xf numFmtId="4" fontId="15" fillId="9" borderId="3" xfId="0" applyNumberFormat="1" applyFont="1" applyFill="1" applyBorder="1"/>
    <xf numFmtId="0" fontId="1" fillId="5" borderId="1" xfId="0" applyFont="1" applyFill="1" applyBorder="1" applyAlignment="1">
      <alignment horizontal="left" wrapText="1"/>
    </xf>
    <xf numFmtId="0" fontId="11" fillId="6" borderId="1" xfId="0" applyFont="1" applyFill="1" applyBorder="1" applyAlignment="1">
      <alignment horizontal="left" wrapText="1"/>
    </xf>
    <xf numFmtId="0" fontId="2" fillId="6" borderId="1" xfId="0" applyFont="1" applyFill="1" applyBorder="1" applyAlignment="1">
      <alignment horizontal="left" wrapText="1"/>
    </xf>
    <xf numFmtId="4" fontId="15" fillId="10" borderId="1" xfId="0" applyNumberFormat="1" applyFont="1" applyFill="1" applyBorder="1"/>
    <xf numFmtId="4" fontId="15" fillId="10" borderId="3" xfId="0" applyNumberFormat="1" applyFont="1" applyFill="1" applyBorder="1"/>
    <xf numFmtId="0" fontId="14" fillId="6" borderId="3" xfId="0" applyFont="1" applyFill="1" applyBorder="1" applyAlignment="1">
      <alignment horizontal="left" wrapText="1"/>
    </xf>
    <xf numFmtId="0" fontId="16" fillId="0" borderId="0" xfId="0" applyFont="1" applyAlignment="1">
      <alignment horizontal="center"/>
    </xf>
    <xf numFmtId="0" fontId="22" fillId="0" borderId="4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153"/>
  <sheetViews>
    <sheetView tabSelected="1" topLeftCell="A4" zoomScale="85" zoomScaleNormal="85" workbookViewId="0">
      <pane xSplit="4" ySplit="2" topLeftCell="E6" activePane="bottomRight" state="frozen"/>
      <selection activeCell="A4" sqref="A4"/>
      <selection pane="topRight" activeCell="E4" sqref="E4"/>
      <selection pane="bottomLeft" activeCell="A6" sqref="A6"/>
      <selection pane="bottomRight" activeCell="M119" sqref="M119"/>
    </sheetView>
  </sheetViews>
  <sheetFormatPr defaultRowHeight="15" outlineLevelCol="1" x14ac:dyDescent="0.25"/>
  <cols>
    <col min="3" max="3" width="27.7109375" customWidth="1"/>
    <col min="4" max="4" width="28.42578125" customWidth="1"/>
    <col min="5" max="5" width="55.7109375" customWidth="1"/>
    <col min="6" max="6" width="20.140625" style="2" customWidth="1" outlineLevel="1"/>
    <col min="7" max="7" width="11.5703125" style="2" customWidth="1" outlineLevel="1"/>
    <col min="8" max="8" width="9.140625" customWidth="1" outlineLevel="1"/>
    <col min="9" max="9" width="18.5703125" customWidth="1" outlineLevel="1"/>
    <col min="10" max="10" width="19.5703125" customWidth="1" outlineLevel="1"/>
    <col min="11" max="11" width="16.140625" customWidth="1" outlineLevel="1"/>
    <col min="12" max="12" width="19.140625" customWidth="1" outlineLevel="1"/>
    <col min="13" max="19" width="19.42578125" customWidth="1" outlineLevel="1"/>
    <col min="20" max="20" width="19" customWidth="1"/>
    <col min="21" max="32" width="15" customWidth="1"/>
    <col min="33" max="33" width="15.42578125" customWidth="1"/>
    <col min="34" max="34" width="15" style="10" customWidth="1"/>
    <col min="35" max="35" width="15.42578125" style="10" customWidth="1"/>
    <col min="36" max="36" width="15.7109375" style="10" customWidth="1"/>
    <col min="37" max="37" width="14.42578125" style="10" customWidth="1"/>
    <col min="38" max="38" width="14.5703125" style="10" customWidth="1"/>
    <col min="39" max="39" width="14.28515625" style="10" customWidth="1"/>
    <col min="40" max="40" width="14.5703125" style="10" customWidth="1"/>
    <col min="41" max="41" width="16.7109375" style="10" customWidth="1"/>
    <col min="42" max="42" width="15.140625" style="10" customWidth="1"/>
    <col min="43" max="43" width="14.28515625" style="10" customWidth="1"/>
    <col min="44" max="44" width="14.5703125" style="10" customWidth="1"/>
    <col min="45" max="45" width="15.5703125" style="10" customWidth="1"/>
    <col min="46" max="46" width="15.140625" style="10" customWidth="1"/>
    <col min="47" max="47" width="12.42578125" style="10" customWidth="1"/>
    <col min="48" max="48" width="18.42578125" customWidth="1"/>
    <col min="49" max="49" width="14.85546875" bestFit="1" customWidth="1"/>
  </cols>
  <sheetData>
    <row r="1" spans="1:49" hidden="1" x14ac:dyDescent="0.25">
      <c r="D1" s="91" t="s">
        <v>239</v>
      </c>
      <c r="E1" s="91"/>
      <c r="F1" s="91"/>
      <c r="G1" s="91"/>
      <c r="H1" s="91"/>
      <c r="I1" s="91"/>
      <c r="J1" s="91"/>
    </row>
    <row r="2" spans="1:49" hidden="1" x14ac:dyDescent="0.25">
      <c r="D2" s="91"/>
      <c r="E2" s="91"/>
      <c r="F2" s="91"/>
      <c r="G2" s="91"/>
      <c r="H2" s="91"/>
      <c r="I2" s="91"/>
      <c r="J2" s="91"/>
    </row>
    <row r="3" spans="1:49" hidden="1" x14ac:dyDescent="0.25"/>
    <row r="4" spans="1:49" ht="27.75" customHeight="1" x14ac:dyDescent="0.35">
      <c r="B4" s="67"/>
      <c r="C4" s="92" t="s">
        <v>380</v>
      </c>
      <c r="D4" s="92"/>
      <c r="E4" s="92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8">
        <v>46111</v>
      </c>
    </row>
    <row r="5" spans="1:49" ht="81" customHeight="1" x14ac:dyDescent="0.25">
      <c r="B5" s="4" t="s">
        <v>0</v>
      </c>
      <c r="C5" s="4" t="s">
        <v>1</v>
      </c>
      <c r="D5" s="4" t="s">
        <v>2</v>
      </c>
      <c r="E5" s="4" t="s">
        <v>3</v>
      </c>
      <c r="F5" s="5" t="s">
        <v>238</v>
      </c>
      <c r="G5" s="5" t="s">
        <v>368</v>
      </c>
      <c r="H5" s="4" t="s">
        <v>4</v>
      </c>
      <c r="I5" s="4" t="s">
        <v>5</v>
      </c>
      <c r="J5" s="4" t="s">
        <v>6</v>
      </c>
      <c r="K5" s="4" t="s">
        <v>7</v>
      </c>
      <c r="L5" s="6" t="s">
        <v>240</v>
      </c>
      <c r="M5" s="6" t="s">
        <v>241</v>
      </c>
      <c r="N5" s="6" t="s">
        <v>347</v>
      </c>
      <c r="O5" s="6" t="s">
        <v>260</v>
      </c>
      <c r="P5" s="6" t="s">
        <v>261</v>
      </c>
      <c r="Q5" s="6" t="s">
        <v>262</v>
      </c>
      <c r="R5" s="6" t="s">
        <v>263</v>
      </c>
      <c r="S5" s="6" t="s">
        <v>264</v>
      </c>
      <c r="T5" s="8" t="s">
        <v>244</v>
      </c>
      <c r="U5" s="8" t="s">
        <v>356</v>
      </c>
      <c r="V5" s="8" t="s">
        <v>357</v>
      </c>
      <c r="W5" s="8" t="s">
        <v>358</v>
      </c>
      <c r="X5" s="8" t="s">
        <v>359</v>
      </c>
      <c r="Y5" s="8" t="s">
        <v>360</v>
      </c>
      <c r="Z5" s="8" t="s">
        <v>361</v>
      </c>
      <c r="AA5" s="8" t="s">
        <v>362</v>
      </c>
      <c r="AB5" s="8" t="s">
        <v>363</v>
      </c>
      <c r="AC5" s="8" t="s">
        <v>364</v>
      </c>
      <c r="AD5" s="8" t="s">
        <v>365</v>
      </c>
      <c r="AE5" s="8" t="s">
        <v>366</v>
      </c>
      <c r="AF5" s="8" t="s">
        <v>367</v>
      </c>
      <c r="AG5" s="7" t="s">
        <v>245</v>
      </c>
      <c r="AH5" s="7" t="s">
        <v>246</v>
      </c>
      <c r="AI5" s="7" t="s">
        <v>247</v>
      </c>
      <c r="AJ5" s="7" t="s">
        <v>248</v>
      </c>
      <c r="AK5" s="7" t="s">
        <v>249</v>
      </c>
      <c r="AL5" s="7" t="s">
        <v>250</v>
      </c>
      <c r="AM5" s="7" t="s">
        <v>251</v>
      </c>
      <c r="AN5" s="7" t="s">
        <v>252</v>
      </c>
      <c r="AO5" s="7" t="s">
        <v>253</v>
      </c>
      <c r="AP5" s="7" t="s">
        <v>254</v>
      </c>
      <c r="AQ5" s="7" t="s">
        <v>255</v>
      </c>
      <c r="AR5" s="7" t="s">
        <v>256</v>
      </c>
      <c r="AS5" s="7" t="s">
        <v>257</v>
      </c>
      <c r="AT5" s="7" t="s">
        <v>258</v>
      </c>
      <c r="AU5" s="7"/>
      <c r="AV5" s="7" t="s">
        <v>259</v>
      </c>
    </row>
    <row r="6" spans="1:49" s="22" customFormat="1" ht="30" x14ac:dyDescent="0.25">
      <c r="B6" s="23">
        <v>1</v>
      </c>
      <c r="C6" s="24" t="s">
        <v>8</v>
      </c>
      <c r="D6" s="62" t="s">
        <v>9</v>
      </c>
      <c r="E6" s="27" t="s">
        <v>10</v>
      </c>
      <c r="F6" s="41">
        <v>14036915</v>
      </c>
      <c r="G6" s="52">
        <v>2021</v>
      </c>
      <c r="H6" s="27">
        <v>15</v>
      </c>
      <c r="I6" s="42">
        <v>13442514.699999999</v>
      </c>
      <c r="J6" s="43">
        <v>16743000</v>
      </c>
      <c r="K6" s="43">
        <v>5000000</v>
      </c>
      <c r="L6" s="43">
        <v>134540</v>
      </c>
      <c r="M6" s="44">
        <v>46465</v>
      </c>
      <c r="N6" s="44"/>
      <c r="O6" s="45"/>
      <c r="P6" s="45">
        <v>6470800</v>
      </c>
      <c r="Q6" s="45">
        <v>3781200</v>
      </c>
      <c r="R6" s="45">
        <v>1246400</v>
      </c>
      <c r="S6" s="45">
        <v>943300</v>
      </c>
      <c r="T6" s="25">
        <v>2017800</v>
      </c>
      <c r="U6" s="25"/>
      <c r="V6" s="25">
        <v>72000</v>
      </c>
      <c r="W6" s="25">
        <v>63000</v>
      </c>
      <c r="X6" s="25">
        <f>300000+150000+140000</f>
        <v>590000</v>
      </c>
      <c r="Y6" s="25">
        <f>78760+39550+95000</f>
        <v>213310</v>
      </c>
      <c r="Z6" s="25">
        <v>46000</v>
      </c>
      <c r="AA6" s="88">
        <v>88600</v>
      </c>
      <c r="AB6" s="25">
        <f>$L$6</f>
        <v>134540</v>
      </c>
      <c r="AC6" s="25">
        <f>$L$6</f>
        <v>134540</v>
      </c>
      <c r="AD6" s="25">
        <f>$L$6</f>
        <v>134540</v>
      </c>
      <c r="AE6" s="25">
        <f>$L$6</f>
        <v>134540</v>
      </c>
      <c r="AF6" s="25">
        <f>$L$6</f>
        <v>134540</v>
      </c>
      <c r="AG6" s="25">
        <v>670940</v>
      </c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>
        <v>0</v>
      </c>
      <c r="AU6" s="25"/>
      <c r="AV6" s="26" t="e">
        <f>N6+O6+P6+Q6+R6+S6+T6+#REF!+AG6+AH6+AI6+AJ6+AK6+AL6+AM6+AN6+AO6+AP6+AQ6+AR6+AS6+AT6</f>
        <v>#REF!</v>
      </c>
      <c r="AW6" s="22" t="e">
        <f t="shared" ref="AW6:AW42" si="0">J6=AV6</f>
        <v>#REF!</v>
      </c>
    </row>
    <row r="7" spans="1:49" s="22" customFormat="1" ht="30" x14ac:dyDescent="0.25">
      <c r="B7" s="23">
        <v>2</v>
      </c>
      <c r="C7" s="27" t="s">
        <v>11</v>
      </c>
      <c r="D7" s="24" t="s">
        <v>12</v>
      </c>
      <c r="E7" s="27" t="s">
        <v>13</v>
      </c>
      <c r="F7" s="41">
        <v>17497918</v>
      </c>
      <c r="G7" s="52">
        <v>2024</v>
      </c>
      <c r="H7" s="27">
        <v>15</v>
      </c>
      <c r="I7" s="42">
        <v>14824815.76</v>
      </c>
      <c r="J7" s="43">
        <v>24760903</v>
      </c>
      <c r="K7" s="43">
        <v>4952180.5999999996</v>
      </c>
      <c r="L7" s="43">
        <v>110050</v>
      </c>
      <c r="M7" s="44">
        <v>50910</v>
      </c>
      <c r="N7" s="44"/>
      <c r="O7" s="45"/>
      <c r="P7" s="45"/>
      <c r="Q7" s="45"/>
      <c r="R7" s="45"/>
      <c r="S7" s="45">
        <v>5726080.5999999996</v>
      </c>
      <c r="T7" s="59">
        <v>1456240</v>
      </c>
      <c r="U7" s="25"/>
      <c r="V7" s="25">
        <v>111000</v>
      </c>
      <c r="W7" s="25">
        <v>111000</v>
      </c>
      <c r="X7" s="25">
        <v>110050</v>
      </c>
      <c r="Y7" s="25">
        <v>110000</v>
      </c>
      <c r="Z7" s="25">
        <f>$L$7</f>
        <v>110050</v>
      </c>
      <c r="AA7" s="25"/>
      <c r="AB7" s="25">
        <f>$L$7</f>
        <v>110050</v>
      </c>
      <c r="AC7" s="25">
        <f>$L$7</f>
        <v>110050</v>
      </c>
      <c r="AD7" s="25">
        <f>$L$7</f>
        <v>110050</v>
      </c>
      <c r="AE7" s="25">
        <f>$L$7</f>
        <v>110050</v>
      </c>
      <c r="AF7" s="25">
        <f>$L$7</f>
        <v>110050</v>
      </c>
      <c r="AG7" s="25">
        <v>1320600</v>
      </c>
      <c r="AH7" s="25">
        <v>1320600</v>
      </c>
      <c r="AI7" s="25">
        <v>1320600</v>
      </c>
      <c r="AJ7" s="25">
        <v>1320600</v>
      </c>
      <c r="AK7" s="25">
        <v>1320600</v>
      </c>
      <c r="AL7" s="25">
        <v>1320600</v>
      </c>
      <c r="AM7" s="25">
        <v>1320600</v>
      </c>
      <c r="AN7" s="25">
        <v>1320600</v>
      </c>
      <c r="AO7" s="25">
        <v>1320600</v>
      </c>
      <c r="AP7" s="25">
        <v>1320600</v>
      </c>
      <c r="AQ7" s="25">
        <v>1320600</v>
      </c>
      <c r="AR7" s="25">
        <v>1320600</v>
      </c>
      <c r="AS7" s="25">
        <v>512732.4</v>
      </c>
      <c r="AT7" s="25">
        <v>0</v>
      </c>
      <c r="AU7" s="25"/>
      <c r="AV7" s="26" t="e">
        <f>N7+O7+P7+Q7+R7+S7+T7+#REF!+AG7+AH7+AI7+AJ7+AK7+AL7+AM7+AN7+AO7+AP7+AQ7+AR7+AS7+AT7</f>
        <v>#REF!</v>
      </c>
      <c r="AW7" s="22" t="e">
        <f t="shared" si="0"/>
        <v>#REF!</v>
      </c>
    </row>
    <row r="8" spans="1:49" s="22" customFormat="1" ht="30" x14ac:dyDescent="0.25">
      <c r="B8" s="23">
        <v>3</v>
      </c>
      <c r="C8" s="27" t="s">
        <v>14</v>
      </c>
      <c r="D8" s="62" t="s">
        <v>15</v>
      </c>
      <c r="E8" s="27" t="s">
        <v>16</v>
      </c>
      <c r="F8" s="41">
        <v>13355000</v>
      </c>
      <c r="G8" s="52">
        <v>2024</v>
      </c>
      <c r="H8" s="27">
        <v>15</v>
      </c>
      <c r="I8" s="42">
        <v>12920962.369999999</v>
      </c>
      <c r="J8" s="43">
        <v>16021663</v>
      </c>
      <c r="K8" s="43">
        <v>3204332.6</v>
      </c>
      <c r="L8" s="43">
        <v>59780</v>
      </c>
      <c r="M8" s="44">
        <v>51030</v>
      </c>
      <c r="N8" s="44"/>
      <c r="O8" s="45"/>
      <c r="P8" s="45"/>
      <c r="Q8" s="45"/>
      <c r="R8" s="45"/>
      <c r="S8" s="45">
        <v>3418752.6</v>
      </c>
      <c r="T8" s="59">
        <v>2740590</v>
      </c>
      <c r="U8" s="25">
        <f>L8</f>
        <v>59780</v>
      </c>
      <c r="V8" s="25">
        <f>L8</f>
        <v>59780</v>
      </c>
      <c r="W8" s="25">
        <f>L8</f>
        <v>59780</v>
      </c>
      <c r="X8" s="25">
        <v>59780</v>
      </c>
      <c r="Y8" s="25">
        <v>59780</v>
      </c>
      <c r="Z8" s="25">
        <f>$L$8</f>
        <v>59780</v>
      </c>
      <c r="AA8" s="25"/>
      <c r="AB8" s="25">
        <f>$L$8</f>
        <v>59780</v>
      </c>
      <c r="AC8" s="25">
        <f>$L$8</f>
        <v>59780</v>
      </c>
      <c r="AD8" s="25">
        <f>$L$8</f>
        <v>59780</v>
      </c>
      <c r="AE8" s="25">
        <f>$L$8</f>
        <v>59780</v>
      </c>
      <c r="AF8" s="25">
        <f>$L$8</f>
        <v>59780</v>
      </c>
      <c r="AG8" s="25">
        <v>717360</v>
      </c>
      <c r="AH8" s="25">
        <v>717360</v>
      </c>
      <c r="AI8" s="25">
        <v>717360</v>
      </c>
      <c r="AJ8" s="25">
        <v>717360</v>
      </c>
      <c r="AK8" s="25">
        <v>717360</v>
      </c>
      <c r="AL8" s="25">
        <v>717360</v>
      </c>
      <c r="AM8" s="25">
        <v>717360</v>
      </c>
      <c r="AN8" s="25">
        <v>717360</v>
      </c>
      <c r="AO8" s="25">
        <v>717360</v>
      </c>
      <c r="AP8" s="25">
        <v>717360</v>
      </c>
      <c r="AQ8" s="25">
        <v>717360</v>
      </c>
      <c r="AR8" s="25">
        <v>717360</v>
      </c>
      <c r="AS8" s="25">
        <v>536640.4</v>
      </c>
      <c r="AT8" s="25">
        <v>0</v>
      </c>
      <c r="AU8" s="25"/>
      <c r="AV8" s="26" t="e">
        <f>N8+O8+P8+Q8+R8+S8+T8+#REF!+AG8+AH8+AI8+AJ8+AK8+AL8+AM8+AN8+AO8+AP8+AQ8+AR8+AS8+AT8</f>
        <v>#REF!</v>
      </c>
      <c r="AW8" s="22" t="e">
        <f t="shared" si="0"/>
        <v>#REF!</v>
      </c>
    </row>
    <row r="9" spans="1:49" s="19" customFormat="1" ht="45" x14ac:dyDescent="0.25">
      <c r="B9" s="11">
        <v>4</v>
      </c>
      <c r="C9" s="31" t="s">
        <v>17</v>
      </c>
      <c r="D9" s="81" t="s">
        <v>18</v>
      </c>
      <c r="E9" s="13" t="s">
        <v>19</v>
      </c>
      <c r="F9" s="14">
        <v>5127911</v>
      </c>
      <c r="G9" s="63">
        <v>2021</v>
      </c>
      <c r="H9" s="13">
        <v>15</v>
      </c>
      <c r="I9" s="15">
        <v>4777503.68</v>
      </c>
      <c r="J9" s="16">
        <v>5839000</v>
      </c>
      <c r="K9" s="16">
        <v>1167800</v>
      </c>
      <c r="L9" s="16">
        <v>25960</v>
      </c>
      <c r="M9" s="17">
        <v>49956</v>
      </c>
      <c r="N9" s="17"/>
      <c r="O9" s="20"/>
      <c r="P9" s="20">
        <v>1219720</v>
      </c>
      <c r="Q9" s="20">
        <v>311980</v>
      </c>
      <c r="R9" s="20">
        <v>312000</v>
      </c>
      <c r="S9" s="20">
        <v>315100</v>
      </c>
      <c r="T9" s="18">
        <v>262000</v>
      </c>
      <c r="U9" s="18"/>
      <c r="V9" s="18">
        <v>26000</v>
      </c>
      <c r="W9" s="18">
        <v>26000</v>
      </c>
      <c r="X9" s="18">
        <v>26000</v>
      </c>
      <c r="Y9" s="18">
        <f>99880+3240320</f>
        <v>3340200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>
        <v>0</v>
      </c>
      <c r="AR9" s="18">
        <v>0</v>
      </c>
      <c r="AS9" s="18">
        <v>0</v>
      </c>
      <c r="AT9" s="18">
        <v>0</v>
      </c>
      <c r="AU9" s="18"/>
      <c r="AV9" s="32" t="e">
        <f>N9+O9+P9+Q9+R9+S9+T9+#REF!+AG9+AH9+AI9+AJ9+AK9+AL9+AM9+AN9+AO9+AP9+AQ9+AR9+AS9+AT9</f>
        <v>#REF!</v>
      </c>
      <c r="AW9" s="19" t="e">
        <f t="shared" si="0"/>
        <v>#REF!</v>
      </c>
    </row>
    <row r="10" spans="1:49" s="22" customFormat="1" ht="30" x14ac:dyDescent="0.25">
      <c r="B10" s="23">
        <v>5</v>
      </c>
      <c r="C10" s="24" t="s">
        <v>20</v>
      </c>
      <c r="D10" s="24" t="s">
        <v>21</v>
      </c>
      <c r="E10" s="27" t="s">
        <v>22</v>
      </c>
      <c r="F10" s="41">
        <v>15088275</v>
      </c>
      <c r="G10" s="52">
        <v>2021</v>
      </c>
      <c r="H10" s="27">
        <v>15</v>
      </c>
      <c r="I10" s="42">
        <v>14400708.199999999</v>
      </c>
      <c r="J10" s="43">
        <v>15472000</v>
      </c>
      <c r="K10" s="43">
        <v>3094400</v>
      </c>
      <c r="L10" s="43">
        <v>68770</v>
      </c>
      <c r="M10" s="44">
        <v>49777</v>
      </c>
      <c r="N10" s="44"/>
      <c r="O10" s="45"/>
      <c r="P10" s="45">
        <v>3647572</v>
      </c>
      <c r="Q10" s="45">
        <v>825470</v>
      </c>
      <c r="R10" s="45">
        <v>826170</v>
      </c>
      <c r="S10" s="45">
        <v>826400</v>
      </c>
      <c r="T10" s="59">
        <v>825600</v>
      </c>
      <c r="U10" s="25">
        <v>68880</v>
      </c>
      <c r="V10" s="25">
        <v>68800</v>
      </c>
      <c r="W10" s="25">
        <v>68800</v>
      </c>
      <c r="X10" s="25">
        <v>68800</v>
      </c>
      <c r="Y10" s="25">
        <v>68800</v>
      </c>
      <c r="Z10" s="25">
        <v>68800</v>
      </c>
      <c r="AA10" s="25"/>
      <c r="AB10" s="25">
        <f>$L$10</f>
        <v>68770</v>
      </c>
      <c r="AC10" s="25">
        <f>$L$10</f>
        <v>68770</v>
      </c>
      <c r="AD10" s="25">
        <f>$L$10</f>
        <v>68770</v>
      </c>
      <c r="AE10" s="25">
        <f>$L$10</f>
        <v>68770</v>
      </c>
      <c r="AF10" s="25">
        <f>$L$10</f>
        <v>68770</v>
      </c>
      <c r="AG10" s="25">
        <v>825240</v>
      </c>
      <c r="AH10" s="25">
        <v>825240</v>
      </c>
      <c r="AI10" s="25">
        <v>825240</v>
      </c>
      <c r="AJ10" s="25">
        <v>825240</v>
      </c>
      <c r="AK10" s="25">
        <v>825240</v>
      </c>
      <c r="AL10" s="25">
        <v>825240</v>
      </c>
      <c r="AM10" s="25">
        <v>825240</v>
      </c>
      <c r="AN10" s="25">
        <v>825240</v>
      </c>
      <c r="AO10" s="25">
        <v>825240</v>
      </c>
      <c r="AP10" s="25">
        <v>268418</v>
      </c>
      <c r="AQ10" s="25">
        <v>0</v>
      </c>
      <c r="AR10" s="25">
        <v>0</v>
      </c>
      <c r="AS10" s="25">
        <v>0</v>
      </c>
      <c r="AT10" s="25">
        <v>0</v>
      </c>
      <c r="AU10" s="25"/>
      <c r="AV10" s="26" t="e">
        <f>N10+O10+P10+Q10+R10+S10+T10+#REF!+AG10+AH10+AI10+AJ10+AK10+AL10+AM10+AN10+AO10+AP10+AQ10+AR10+AS10+AT10</f>
        <v>#REF!</v>
      </c>
      <c r="AW10" s="22" t="e">
        <f t="shared" si="0"/>
        <v>#REF!</v>
      </c>
    </row>
    <row r="11" spans="1:49" s="22" customFormat="1" ht="30" x14ac:dyDescent="0.25">
      <c r="B11" s="23">
        <v>6</v>
      </c>
      <c r="C11" s="27" t="s">
        <v>23</v>
      </c>
      <c r="D11" s="24" t="s">
        <v>24</v>
      </c>
      <c r="E11" s="27" t="s">
        <v>25</v>
      </c>
      <c r="F11" s="41">
        <v>25085781</v>
      </c>
      <c r="G11" s="52">
        <v>2025</v>
      </c>
      <c r="H11" s="27">
        <v>15</v>
      </c>
      <c r="I11" s="42">
        <v>20793942.609999999</v>
      </c>
      <c r="J11" s="43">
        <v>36351000</v>
      </c>
      <c r="K11" s="43">
        <v>18175500</v>
      </c>
      <c r="L11" s="43">
        <v>100980</v>
      </c>
      <c r="M11" s="44">
        <v>51291</v>
      </c>
      <c r="N11" s="44"/>
      <c r="O11" s="45"/>
      <c r="P11" s="45"/>
      <c r="Q11" s="45"/>
      <c r="R11" s="45"/>
      <c r="S11" s="45"/>
      <c r="T11" s="59">
        <v>18983340</v>
      </c>
      <c r="U11" s="25">
        <v>202000</v>
      </c>
      <c r="V11" s="25"/>
      <c r="W11" s="25">
        <v>202000</v>
      </c>
      <c r="X11" s="25" t="s">
        <v>381</v>
      </c>
      <c r="Y11" s="25">
        <v>302940</v>
      </c>
      <c r="Z11" s="25">
        <v>201960</v>
      </c>
      <c r="AA11" s="25"/>
      <c r="AB11" s="25">
        <f>$L$11</f>
        <v>100980</v>
      </c>
      <c r="AC11" s="25">
        <f>$L$11</f>
        <v>100980</v>
      </c>
      <c r="AD11" s="25">
        <f>$L$11</f>
        <v>100980</v>
      </c>
      <c r="AE11" s="25">
        <f>$L$11</f>
        <v>100980</v>
      </c>
      <c r="AF11" s="25">
        <f>$L$11</f>
        <v>100980</v>
      </c>
      <c r="AG11" s="25">
        <v>1211760</v>
      </c>
      <c r="AH11" s="25">
        <v>1211760</v>
      </c>
      <c r="AI11" s="25">
        <v>1211760</v>
      </c>
      <c r="AJ11" s="25">
        <v>1211760</v>
      </c>
      <c r="AK11" s="25">
        <v>1211760</v>
      </c>
      <c r="AL11" s="25">
        <v>1211760</v>
      </c>
      <c r="AM11" s="25">
        <v>1211760</v>
      </c>
      <c r="AN11" s="25">
        <v>1211760</v>
      </c>
      <c r="AO11" s="25">
        <v>1211760</v>
      </c>
      <c r="AP11" s="25">
        <v>1211760</v>
      </c>
      <c r="AQ11" s="25">
        <v>1211760</v>
      </c>
      <c r="AR11" s="25">
        <v>1211760</v>
      </c>
      <c r="AS11" s="25">
        <v>1211760</v>
      </c>
      <c r="AT11" s="25">
        <v>403020</v>
      </c>
      <c r="AU11" s="25"/>
      <c r="AV11" s="26" t="e">
        <f>N11+O11+P11+Q11+R11+S11+T11+#REF!+AG11+AH11+AI11+AJ11+AK11+AL11+AM11+AN11+AO11+AP11+AQ11+AR11+AS11+AT11</f>
        <v>#REF!</v>
      </c>
      <c r="AW11" s="22" t="e">
        <f t="shared" si="0"/>
        <v>#REF!</v>
      </c>
    </row>
    <row r="12" spans="1:49" s="22" customFormat="1" ht="30" x14ac:dyDescent="0.25">
      <c r="B12" s="23">
        <v>7</v>
      </c>
      <c r="C12" s="27" t="s">
        <v>26</v>
      </c>
      <c r="D12" s="24" t="s">
        <v>27</v>
      </c>
      <c r="E12" s="27" t="s">
        <v>28</v>
      </c>
      <c r="F12" s="41">
        <v>16900675</v>
      </c>
      <c r="G12" s="52">
        <v>2022</v>
      </c>
      <c r="H12" s="27">
        <v>15</v>
      </c>
      <c r="I12" s="42">
        <v>14487871.83</v>
      </c>
      <c r="J12" s="43">
        <v>21562000</v>
      </c>
      <c r="K12" s="43">
        <v>4312400</v>
      </c>
      <c r="L12" s="43">
        <v>95840</v>
      </c>
      <c r="M12" s="44">
        <v>50401</v>
      </c>
      <c r="N12" s="44"/>
      <c r="O12" s="45"/>
      <c r="P12" s="45"/>
      <c r="Q12" s="45">
        <v>4312400</v>
      </c>
      <c r="R12" s="45">
        <v>1150080</v>
      </c>
      <c r="S12" s="45">
        <v>1620000</v>
      </c>
      <c r="T12" s="59">
        <v>4100000</v>
      </c>
      <c r="U12" s="25">
        <v>1300000</v>
      </c>
      <c r="V12" s="25"/>
      <c r="W12" s="25"/>
      <c r="X12" s="25" t="s">
        <v>381</v>
      </c>
      <c r="Y12" s="25"/>
      <c r="Z12" s="25"/>
      <c r="AA12" s="25"/>
      <c r="AB12" s="25"/>
      <c r="AC12" s="25"/>
      <c r="AD12" s="25"/>
      <c r="AE12" s="25"/>
      <c r="AF12" s="25"/>
      <c r="AG12" s="25">
        <v>0</v>
      </c>
      <c r="AH12" s="25"/>
      <c r="AI12" s="25"/>
      <c r="AJ12" s="25">
        <v>1030560</v>
      </c>
      <c r="AK12" s="25">
        <v>1150080</v>
      </c>
      <c r="AL12" s="25">
        <v>1150080</v>
      </c>
      <c r="AM12" s="25">
        <v>1150080</v>
      </c>
      <c r="AN12" s="25">
        <v>1150080</v>
      </c>
      <c r="AO12" s="25">
        <v>1150080</v>
      </c>
      <c r="AP12" s="25">
        <v>1150080</v>
      </c>
      <c r="AQ12" s="25">
        <v>1150080</v>
      </c>
      <c r="AR12" s="25">
        <v>0</v>
      </c>
      <c r="AS12" s="25">
        <v>0</v>
      </c>
      <c r="AT12" s="25">
        <v>0</v>
      </c>
      <c r="AU12" s="25"/>
      <c r="AV12" s="26" t="e">
        <f>N12+O12+P12+Q12+R12+S12+T12+#REF!+AG12+AH12+AI12+AJ12+AK12+AL12+AM12+AN12+AO12+AP12+AQ12+AR12+AS12+AT12</f>
        <v>#REF!</v>
      </c>
      <c r="AW12" s="22" t="e">
        <f t="shared" si="0"/>
        <v>#REF!</v>
      </c>
    </row>
    <row r="13" spans="1:49" s="22" customFormat="1" ht="30" x14ac:dyDescent="0.25">
      <c r="B13" s="23">
        <v>8</v>
      </c>
      <c r="C13" s="27" t="s">
        <v>29</v>
      </c>
      <c r="D13" s="24" t="s">
        <v>30</v>
      </c>
      <c r="E13" s="27" t="s">
        <v>31</v>
      </c>
      <c r="F13" s="41">
        <v>17209000</v>
      </c>
      <c r="G13" s="52">
        <v>2022</v>
      </c>
      <c r="H13" s="27">
        <v>15</v>
      </c>
      <c r="I13" s="42">
        <v>17108614.190000001</v>
      </c>
      <c r="J13" s="43">
        <v>17239000</v>
      </c>
      <c r="K13" s="43">
        <v>3447800</v>
      </c>
      <c r="L13" s="43">
        <v>76620</v>
      </c>
      <c r="M13" s="44">
        <v>50068</v>
      </c>
      <c r="N13" s="44"/>
      <c r="O13" s="45"/>
      <c r="P13" s="45"/>
      <c r="Q13" s="45">
        <v>4290620</v>
      </c>
      <c r="R13" s="45">
        <v>919440</v>
      </c>
      <c r="S13" s="45">
        <v>919440</v>
      </c>
      <c r="T13" s="59">
        <v>996060</v>
      </c>
      <c r="U13" s="25"/>
      <c r="V13" s="25">
        <f>L13</f>
        <v>76620</v>
      </c>
      <c r="W13" s="25">
        <f>L13</f>
        <v>76620</v>
      </c>
      <c r="X13" s="25">
        <v>76620</v>
      </c>
      <c r="Y13" s="25">
        <v>76620</v>
      </c>
      <c r="Z13" s="25">
        <f t="shared" ref="Z13:AF13" si="1">$L$13</f>
        <v>76620</v>
      </c>
      <c r="AA13" s="88">
        <f t="shared" si="1"/>
        <v>76620</v>
      </c>
      <c r="AB13" s="25">
        <f t="shared" si="1"/>
        <v>76620</v>
      </c>
      <c r="AC13" s="25">
        <f t="shared" si="1"/>
        <v>76620</v>
      </c>
      <c r="AD13" s="25">
        <f t="shared" si="1"/>
        <v>76620</v>
      </c>
      <c r="AE13" s="25">
        <f t="shared" si="1"/>
        <v>76620</v>
      </c>
      <c r="AF13" s="25">
        <f t="shared" si="1"/>
        <v>76620</v>
      </c>
      <c r="AG13" s="25">
        <v>919440</v>
      </c>
      <c r="AH13" s="25">
        <v>919440</v>
      </c>
      <c r="AI13" s="25">
        <v>919440</v>
      </c>
      <c r="AJ13" s="25">
        <v>919440</v>
      </c>
      <c r="AK13" s="25">
        <v>919440</v>
      </c>
      <c r="AL13" s="25">
        <v>919440</v>
      </c>
      <c r="AM13" s="25">
        <v>919440</v>
      </c>
      <c r="AN13" s="25">
        <v>919440</v>
      </c>
      <c r="AO13" s="25">
        <v>919440</v>
      </c>
      <c r="AP13" s="25">
        <v>919440</v>
      </c>
      <c r="AQ13" s="25">
        <v>76220</v>
      </c>
      <c r="AR13" s="25">
        <v>0</v>
      </c>
      <c r="AS13" s="25">
        <v>0</v>
      </c>
      <c r="AT13" s="25">
        <v>0</v>
      </c>
      <c r="AU13" s="25"/>
      <c r="AV13" s="26" t="e">
        <f>N13+O13+P13+Q13+R13+S13+T13+#REF!+AG13+AH13+AI13+AJ13+AK13+AL13+AM13+AN13+AO13+AP13+AQ13+AR13+AS13+AT13</f>
        <v>#REF!</v>
      </c>
      <c r="AW13" s="22" t="e">
        <f t="shared" si="0"/>
        <v>#REF!</v>
      </c>
    </row>
    <row r="14" spans="1:49" s="19" customFormat="1" ht="30" x14ac:dyDescent="0.25">
      <c r="B14" s="11">
        <v>9</v>
      </c>
      <c r="C14" s="30" t="s">
        <v>266</v>
      </c>
      <c r="D14" s="29" t="s">
        <v>267</v>
      </c>
      <c r="E14" s="30" t="s">
        <v>320</v>
      </c>
      <c r="F14" s="38">
        <v>21199693</v>
      </c>
      <c r="G14" s="63">
        <v>2023</v>
      </c>
      <c r="H14" s="13"/>
      <c r="I14" s="39">
        <v>19557723.219999999</v>
      </c>
      <c r="J14" s="16">
        <v>12104134.4</v>
      </c>
      <c r="K14" s="16"/>
      <c r="L14" s="16"/>
      <c r="M14" s="17"/>
      <c r="N14" s="20"/>
      <c r="O14" s="20"/>
      <c r="P14" s="20"/>
      <c r="Q14" s="20"/>
      <c r="R14" s="20">
        <v>12104134.4</v>
      </c>
      <c r="S14" s="20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32" t="e">
        <f>N14+O14+P14+Q14+R14+S14+T14+#REF!+AG14+AH14+AI14+AJ14+AK14+AL14+AM14+AN14+AO14+AP14+AQ14+AR14+AS14+AT14</f>
        <v>#REF!</v>
      </c>
      <c r="AW14" s="19" t="e">
        <f t="shared" si="0"/>
        <v>#REF!</v>
      </c>
    </row>
    <row r="15" spans="1:49" s="22" customFormat="1" ht="30" x14ac:dyDescent="0.25">
      <c r="A15" s="19"/>
      <c r="B15" s="11">
        <v>10</v>
      </c>
      <c r="C15" s="12" t="s">
        <v>32</v>
      </c>
      <c r="D15" s="12" t="s">
        <v>33</v>
      </c>
      <c r="E15" s="21" t="s">
        <v>265</v>
      </c>
      <c r="F15" s="14">
        <v>14036915</v>
      </c>
      <c r="G15" s="63">
        <v>2021</v>
      </c>
      <c r="H15" s="13">
        <v>15</v>
      </c>
      <c r="I15" s="15">
        <v>13429700.1</v>
      </c>
      <c r="J15" s="16">
        <v>15575000</v>
      </c>
      <c r="K15" s="16">
        <v>3115000</v>
      </c>
      <c r="L15" s="16">
        <v>54460</v>
      </c>
      <c r="M15" s="17">
        <v>49774</v>
      </c>
      <c r="N15" s="17"/>
      <c r="O15" s="20"/>
      <c r="P15" s="20">
        <v>3675000</v>
      </c>
      <c r="Q15" s="20">
        <v>840000</v>
      </c>
      <c r="R15" s="20">
        <v>839230</v>
      </c>
      <c r="S15" s="20">
        <v>2818000</v>
      </c>
      <c r="T15" s="59">
        <v>7402770</v>
      </c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  <c r="AN15" s="18">
        <v>0</v>
      </c>
      <c r="AO15" s="18">
        <v>0</v>
      </c>
      <c r="AP15" s="18">
        <v>0</v>
      </c>
      <c r="AQ15" s="18">
        <v>0</v>
      </c>
      <c r="AR15" s="18">
        <v>0</v>
      </c>
      <c r="AS15" s="18">
        <v>0</v>
      </c>
      <c r="AT15" s="18">
        <v>0</v>
      </c>
      <c r="AU15" s="18"/>
      <c r="AV15" s="32" t="e">
        <f>N15+O15+P15+Q15+R15+S15+T15+#REF!+AG15+AH15+AI15+AJ15+AK15+AL15+AM15+AN15+AO15+AP15+AQ15+AR15+AS15+AT15</f>
        <v>#REF!</v>
      </c>
      <c r="AW15" s="19" t="e">
        <f t="shared" si="0"/>
        <v>#REF!</v>
      </c>
    </row>
    <row r="16" spans="1:49" s="22" customFormat="1" ht="30" x14ac:dyDescent="0.25">
      <c r="B16" s="23">
        <v>11</v>
      </c>
      <c r="C16" s="27" t="s">
        <v>34</v>
      </c>
      <c r="D16" s="24" t="s">
        <v>35</v>
      </c>
      <c r="E16" s="27" t="s">
        <v>36</v>
      </c>
      <c r="F16" s="41">
        <v>13378603</v>
      </c>
      <c r="G16" s="52">
        <v>2023</v>
      </c>
      <c r="H16" s="27">
        <v>15</v>
      </c>
      <c r="I16" s="42">
        <v>12409030.23</v>
      </c>
      <c r="J16" s="43">
        <v>24102000</v>
      </c>
      <c r="K16" s="43">
        <v>4820400</v>
      </c>
      <c r="L16" s="43">
        <v>107120</v>
      </c>
      <c r="M16" s="44">
        <v>50760</v>
      </c>
      <c r="N16" s="44"/>
      <c r="O16" s="45"/>
      <c r="P16" s="45"/>
      <c r="Q16" s="45"/>
      <c r="R16" s="45">
        <v>4820400</v>
      </c>
      <c r="S16" s="45">
        <v>1285224</v>
      </c>
      <c r="T16" s="59">
        <v>1285612</v>
      </c>
      <c r="U16" s="25"/>
      <c r="V16" s="25">
        <v>214650</v>
      </c>
      <c r="W16" s="25">
        <v>107500</v>
      </c>
      <c r="X16" s="25">
        <v>3000000</v>
      </c>
      <c r="Y16" s="25"/>
      <c r="Z16" s="83"/>
      <c r="AA16" s="25"/>
      <c r="AB16" s="25">
        <f>$L$16</f>
        <v>107120</v>
      </c>
      <c r="AC16" s="25">
        <f>$L$16</f>
        <v>107120</v>
      </c>
      <c r="AD16" s="25">
        <f>$L$16</f>
        <v>107120</v>
      </c>
      <c r="AE16" s="25">
        <f>$L$16</f>
        <v>107120</v>
      </c>
      <c r="AF16" s="25">
        <f>$L$16</f>
        <v>107120</v>
      </c>
      <c r="AG16" s="25">
        <v>1285440</v>
      </c>
      <c r="AH16" s="25">
        <v>1285440</v>
      </c>
      <c r="AI16" s="25">
        <v>1285440</v>
      </c>
      <c r="AJ16" s="25">
        <v>1285440</v>
      </c>
      <c r="AK16" s="25">
        <v>1285440</v>
      </c>
      <c r="AL16" s="25">
        <v>1285440</v>
      </c>
      <c r="AM16" s="25">
        <v>1285440</v>
      </c>
      <c r="AN16" s="25">
        <v>1285440</v>
      </c>
      <c r="AO16" s="25">
        <v>1285440</v>
      </c>
      <c r="AP16" s="25">
        <v>1285440</v>
      </c>
      <c r="AQ16" s="25">
        <v>1285440</v>
      </c>
      <c r="AR16" s="25">
        <v>1285484</v>
      </c>
      <c r="AS16" s="25">
        <v>0</v>
      </c>
      <c r="AT16" s="25">
        <v>0</v>
      </c>
      <c r="AU16" s="25"/>
      <c r="AV16" s="26" t="e">
        <f>N16+O16+P16+Q16+R16+S16+T16+#REF!+AG16+AH16+AI16+AJ16+AK16+AL16+AM16+AN16+AO16+AP16+AQ16+AR16+AS16+AT16</f>
        <v>#REF!</v>
      </c>
      <c r="AW16" s="22" t="e">
        <f t="shared" si="0"/>
        <v>#REF!</v>
      </c>
    </row>
    <row r="17" spans="1:49" s="22" customFormat="1" ht="30" x14ac:dyDescent="0.25">
      <c r="B17" s="23">
        <v>12</v>
      </c>
      <c r="C17" s="27" t="s">
        <v>37</v>
      </c>
      <c r="D17" s="24" t="s">
        <v>38</v>
      </c>
      <c r="E17" s="27" t="s">
        <v>39</v>
      </c>
      <c r="F17" s="41">
        <v>20924097</v>
      </c>
      <c r="G17" s="52">
        <v>2022</v>
      </c>
      <c r="H17" s="27">
        <v>15</v>
      </c>
      <c r="I17" s="42">
        <v>19712353.370000001</v>
      </c>
      <c r="J17" s="43">
        <v>24253000</v>
      </c>
      <c r="K17" s="43">
        <v>4850600</v>
      </c>
      <c r="L17" s="43">
        <v>88890</v>
      </c>
      <c r="M17" s="44">
        <v>50132</v>
      </c>
      <c r="N17" s="44"/>
      <c r="O17" s="45"/>
      <c r="P17" s="45"/>
      <c r="Q17" s="45">
        <v>8973158</v>
      </c>
      <c r="R17" s="45">
        <v>1380000</v>
      </c>
      <c r="S17" s="45">
        <v>751000</v>
      </c>
      <c r="T17" s="59">
        <v>1075000</v>
      </c>
      <c r="U17" s="25">
        <v>100000</v>
      </c>
      <c r="V17" s="25">
        <v>100000</v>
      </c>
      <c r="W17" s="25">
        <v>100000</v>
      </c>
      <c r="X17" s="25">
        <v>100000</v>
      </c>
      <c r="Y17" s="25">
        <v>41000</v>
      </c>
      <c r="Z17" s="25">
        <v>100000</v>
      </c>
      <c r="AA17" s="88">
        <v>100000</v>
      </c>
      <c r="AB17" s="25">
        <f>$L$17</f>
        <v>88890</v>
      </c>
      <c r="AC17" s="25">
        <f>$L$17</f>
        <v>88890</v>
      </c>
      <c r="AD17" s="25">
        <f>$L$17</f>
        <v>88890</v>
      </c>
      <c r="AE17" s="25">
        <f>$L$17</f>
        <v>88890</v>
      </c>
      <c r="AF17" s="25">
        <f>$L$17</f>
        <v>88890</v>
      </c>
      <c r="AG17" s="25">
        <v>1066680</v>
      </c>
      <c r="AH17" s="25">
        <v>1066680</v>
      </c>
      <c r="AI17" s="25">
        <v>1066680</v>
      </c>
      <c r="AJ17" s="25">
        <v>1066680</v>
      </c>
      <c r="AK17" s="25">
        <v>1066680</v>
      </c>
      <c r="AL17" s="25">
        <v>1066680</v>
      </c>
      <c r="AM17" s="25">
        <v>1066680</v>
      </c>
      <c r="AN17" s="25">
        <v>1066680</v>
      </c>
      <c r="AO17" s="25">
        <v>1066680</v>
      </c>
      <c r="AP17" s="25">
        <v>1066680</v>
      </c>
      <c r="AQ17" s="25">
        <v>351472</v>
      </c>
      <c r="AR17" s="25">
        <v>0</v>
      </c>
      <c r="AS17" s="25">
        <v>0</v>
      </c>
      <c r="AT17" s="25">
        <v>0</v>
      </c>
      <c r="AU17" s="25"/>
      <c r="AV17" s="26" t="e">
        <f>N17+O17+P17+Q17+R17+S17+T17+#REF!+AG17+AH17+AI17+AJ17+AK17+AL17+AM17+AN17+AO17+AP17+AQ17+AR17+AS17+AT17</f>
        <v>#REF!</v>
      </c>
      <c r="AW17" s="22" t="e">
        <f t="shared" si="0"/>
        <v>#REF!</v>
      </c>
    </row>
    <row r="18" spans="1:49" s="22" customFormat="1" ht="30" x14ac:dyDescent="0.25">
      <c r="B18" s="23">
        <v>13</v>
      </c>
      <c r="C18" s="24" t="s">
        <v>40</v>
      </c>
      <c r="D18" s="24" t="s">
        <v>41</v>
      </c>
      <c r="E18" s="27" t="s">
        <v>42</v>
      </c>
      <c r="F18" s="41">
        <v>13484782</v>
      </c>
      <c r="G18" s="52">
        <v>2021</v>
      </c>
      <c r="H18" s="27">
        <v>15</v>
      </c>
      <c r="I18" s="42">
        <v>12913761.949999999</v>
      </c>
      <c r="J18" s="43">
        <v>15010000</v>
      </c>
      <c r="K18" s="43">
        <v>3005000</v>
      </c>
      <c r="L18" s="43">
        <v>66700</v>
      </c>
      <c r="M18" s="44">
        <v>49753</v>
      </c>
      <c r="N18" s="44"/>
      <c r="O18" s="45"/>
      <c r="P18" s="45">
        <v>3607200</v>
      </c>
      <c r="Q18" s="45">
        <v>804400</v>
      </c>
      <c r="R18" s="45">
        <v>738000</v>
      </c>
      <c r="S18" s="45">
        <v>2355400</v>
      </c>
      <c r="T18" s="59">
        <v>476000</v>
      </c>
      <c r="U18" s="25"/>
      <c r="V18" s="25"/>
      <c r="W18" s="25">
        <v>67000</v>
      </c>
      <c r="X18" s="25" t="s">
        <v>382</v>
      </c>
      <c r="Y18" s="25"/>
      <c r="Z18" s="83"/>
      <c r="AA18" s="88">
        <v>335000</v>
      </c>
      <c r="AB18" s="25">
        <f>$L$18</f>
        <v>66700</v>
      </c>
      <c r="AC18" s="25">
        <f>$L$18</f>
        <v>66700</v>
      </c>
      <c r="AD18" s="25">
        <f>$L$18</f>
        <v>66700</v>
      </c>
      <c r="AE18" s="25">
        <f>$L$18</f>
        <v>66700</v>
      </c>
      <c r="AF18" s="25">
        <f>$L$18</f>
        <v>66700</v>
      </c>
      <c r="AG18" s="25">
        <v>800400</v>
      </c>
      <c r="AH18" s="25">
        <v>800400</v>
      </c>
      <c r="AI18" s="25">
        <v>800400</v>
      </c>
      <c r="AJ18" s="25">
        <v>800400</v>
      </c>
      <c r="AK18" s="25">
        <v>800400</v>
      </c>
      <c r="AL18" s="25">
        <v>800400</v>
      </c>
      <c r="AM18" s="25">
        <v>800400</v>
      </c>
      <c r="AN18" s="25">
        <v>626100</v>
      </c>
      <c r="AO18" s="25">
        <v>0</v>
      </c>
      <c r="AP18" s="25">
        <v>0</v>
      </c>
      <c r="AQ18" s="25">
        <v>0</v>
      </c>
      <c r="AR18" s="25">
        <v>0</v>
      </c>
      <c r="AS18" s="25">
        <v>0</v>
      </c>
      <c r="AT18" s="25">
        <v>0</v>
      </c>
      <c r="AU18" s="25"/>
      <c r="AV18" s="26" t="e">
        <f>N18+O18+P18+Q18+R18+S18+T18+#REF!+AG18+AH18+AI18+AJ18+AK18+AL18+AM18+AN18+AO18+AP18+AQ18+AR18+AS18+AT18</f>
        <v>#REF!</v>
      </c>
      <c r="AW18" s="22" t="e">
        <f t="shared" si="0"/>
        <v>#REF!</v>
      </c>
    </row>
    <row r="19" spans="1:49" s="22" customFormat="1" ht="45" x14ac:dyDescent="0.25">
      <c r="A19" s="19"/>
      <c r="B19" s="11">
        <v>14</v>
      </c>
      <c r="C19" s="29" t="s">
        <v>268</v>
      </c>
      <c r="D19" s="29" t="s">
        <v>269</v>
      </c>
      <c r="E19" s="30" t="s">
        <v>321</v>
      </c>
      <c r="F19" s="38">
        <v>31783170</v>
      </c>
      <c r="G19" s="63">
        <v>2019</v>
      </c>
      <c r="H19" s="13"/>
      <c r="I19" s="39">
        <v>31200478.550000001</v>
      </c>
      <c r="J19" s="16">
        <v>11319341.52</v>
      </c>
      <c r="K19" s="16"/>
      <c r="L19" s="16"/>
      <c r="M19" s="17"/>
      <c r="N19" s="20">
        <v>11319341.52</v>
      </c>
      <c r="O19" s="20"/>
      <c r="P19" s="20"/>
      <c r="Q19" s="20"/>
      <c r="R19" s="20"/>
      <c r="S19" s="20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32" t="e">
        <f>N19+O19+P19+Q19+R19+S19+T19+#REF!+AG19+AH19+AI19+AJ19+AK19+AL19+AM19+AN19+AO19+AP19+AQ19+AR19+AS19+AT19</f>
        <v>#REF!</v>
      </c>
      <c r="AW19" s="19" t="e">
        <f t="shared" si="0"/>
        <v>#REF!</v>
      </c>
    </row>
    <row r="20" spans="1:49" s="19" customFormat="1" ht="30" x14ac:dyDescent="0.25">
      <c r="B20" s="11">
        <v>15</v>
      </c>
      <c r="C20" s="12" t="s">
        <v>43</v>
      </c>
      <c r="D20" s="12" t="s">
        <v>44</v>
      </c>
      <c r="E20" s="13" t="s">
        <v>45</v>
      </c>
      <c r="F20" s="14">
        <v>12977245</v>
      </c>
      <c r="G20" s="63">
        <v>2021</v>
      </c>
      <c r="H20" s="13">
        <v>15</v>
      </c>
      <c r="I20" s="15">
        <v>12332939.5</v>
      </c>
      <c r="J20" s="16">
        <v>15871000</v>
      </c>
      <c r="K20" s="16">
        <v>3174200</v>
      </c>
      <c r="L20" s="16">
        <v>70540</v>
      </c>
      <c r="M20" s="17">
        <v>50003</v>
      </c>
      <c r="N20" s="17"/>
      <c r="O20" s="20"/>
      <c r="P20" s="20">
        <v>3315280</v>
      </c>
      <c r="Q20" s="20">
        <v>775940</v>
      </c>
      <c r="R20" s="20">
        <v>987560</v>
      </c>
      <c r="S20" s="20">
        <v>846480</v>
      </c>
      <c r="T20" s="18">
        <v>846480</v>
      </c>
      <c r="U20" s="18"/>
      <c r="V20" s="18">
        <f>L20</f>
        <v>70540</v>
      </c>
      <c r="W20" s="18">
        <f>L20</f>
        <v>70540</v>
      </c>
      <c r="X20" s="18">
        <v>70540</v>
      </c>
      <c r="Y20" s="18">
        <v>1300000</v>
      </c>
      <c r="Z20" s="18">
        <v>7587640</v>
      </c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>
        <v>0</v>
      </c>
      <c r="AR20" s="18">
        <v>0</v>
      </c>
      <c r="AS20" s="18">
        <v>0</v>
      </c>
      <c r="AT20" s="18">
        <v>0</v>
      </c>
      <c r="AU20" s="18"/>
      <c r="AV20" s="32" t="e">
        <f>N20+O20+P20+Q20+R20+S20+T20+#REF!+AG20+AH20+AI20+AJ20+AK20+AL20+AM20+AN20+AO20+AP20+AQ20+AR20+AS20+AT20</f>
        <v>#REF!</v>
      </c>
      <c r="AW20" s="19" t="e">
        <f t="shared" si="0"/>
        <v>#REF!</v>
      </c>
    </row>
    <row r="21" spans="1:49" s="22" customFormat="1" ht="30" x14ac:dyDescent="0.25">
      <c r="B21" s="23">
        <v>16</v>
      </c>
      <c r="C21" s="24" t="s">
        <v>46</v>
      </c>
      <c r="D21" s="24" t="s">
        <v>47</v>
      </c>
      <c r="E21" s="27" t="s">
        <v>48</v>
      </c>
      <c r="F21" s="41">
        <v>18048885</v>
      </c>
      <c r="G21" s="52">
        <v>2021</v>
      </c>
      <c r="H21" s="27">
        <v>15</v>
      </c>
      <c r="I21" s="42">
        <v>17096463.57</v>
      </c>
      <c r="J21" s="43">
        <v>18399000</v>
      </c>
      <c r="K21" s="43">
        <v>3679800</v>
      </c>
      <c r="L21" s="43">
        <v>81780</v>
      </c>
      <c r="M21" s="44">
        <v>49276</v>
      </c>
      <c r="N21" s="44"/>
      <c r="O21" s="45"/>
      <c r="P21" s="45">
        <v>3679800</v>
      </c>
      <c r="Q21" s="45">
        <v>1144680</v>
      </c>
      <c r="R21" s="45">
        <v>898932</v>
      </c>
      <c r="S21" s="45">
        <v>3476088</v>
      </c>
      <c r="T21" s="59">
        <v>980560</v>
      </c>
      <c r="U21" s="25">
        <v>81700</v>
      </c>
      <c r="V21" s="25">
        <v>81700</v>
      </c>
      <c r="W21" s="25">
        <v>81700</v>
      </c>
      <c r="X21" s="25">
        <v>81700</v>
      </c>
      <c r="Y21" s="25">
        <v>81700</v>
      </c>
      <c r="Z21" s="25">
        <v>81700</v>
      </c>
      <c r="AA21" s="25"/>
      <c r="AB21" s="25">
        <f>$L$21</f>
        <v>81780</v>
      </c>
      <c r="AC21" s="25">
        <f>$L$21</f>
        <v>81780</v>
      </c>
      <c r="AD21" s="25">
        <f>$L$21</f>
        <v>81780</v>
      </c>
      <c r="AE21" s="25">
        <f>$L$21</f>
        <v>81780</v>
      </c>
      <c r="AF21" s="25">
        <f>$L$21</f>
        <v>81780</v>
      </c>
      <c r="AG21" s="25">
        <v>981360</v>
      </c>
      <c r="AH21" s="25">
        <v>981360</v>
      </c>
      <c r="AI21" s="25">
        <v>981360</v>
      </c>
      <c r="AJ21" s="25">
        <v>981360</v>
      </c>
      <c r="AK21" s="25">
        <v>981360</v>
      </c>
      <c r="AL21" s="25">
        <v>981360</v>
      </c>
      <c r="AM21" s="25">
        <v>981360</v>
      </c>
      <c r="AN21" s="25">
        <v>367980</v>
      </c>
      <c r="AO21" s="25">
        <v>0</v>
      </c>
      <c r="AP21" s="25">
        <v>0</v>
      </c>
      <c r="AQ21" s="25">
        <v>0</v>
      </c>
      <c r="AR21" s="25">
        <v>0</v>
      </c>
      <c r="AS21" s="25">
        <v>0</v>
      </c>
      <c r="AT21" s="25">
        <v>0</v>
      </c>
      <c r="AU21" s="25"/>
      <c r="AV21" s="26" t="e">
        <f>N21+O21+P21+Q21+R21+S21+T21+#REF!+AG21+AH21+AI21+AJ21+AK21+AL21+AM21+AN21+AO21+AP21+AQ21+AR21+AS21+AT21</f>
        <v>#REF!</v>
      </c>
      <c r="AW21" s="22" t="e">
        <f t="shared" si="0"/>
        <v>#REF!</v>
      </c>
    </row>
    <row r="22" spans="1:49" s="22" customFormat="1" ht="45" x14ac:dyDescent="0.25">
      <c r="A22" s="19"/>
      <c r="B22" s="11">
        <v>17</v>
      </c>
      <c r="C22" s="29" t="s">
        <v>270</v>
      </c>
      <c r="D22" s="31" t="s">
        <v>271</v>
      </c>
      <c r="E22" s="30" t="s">
        <v>322</v>
      </c>
      <c r="F22" s="38">
        <v>31838735</v>
      </c>
      <c r="G22" s="63">
        <v>2019</v>
      </c>
      <c r="H22" s="13"/>
      <c r="I22" s="39">
        <v>30911784.48</v>
      </c>
      <c r="J22" s="16">
        <v>11339131.720000001</v>
      </c>
      <c r="K22" s="16"/>
      <c r="L22" s="16"/>
      <c r="M22" s="17"/>
      <c r="N22" s="20">
        <v>5700000</v>
      </c>
      <c r="O22" s="20">
        <v>1315970</v>
      </c>
      <c r="P22" s="20">
        <v>4324000</v>
      </c>
      <c r="Q22" s="20"/>
      <c r="R22" s="20"/>
      <c r="S22" s="20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32" t="e">
        <f>N22+O22+P22+Q22+R22+S22+T22+#REF!+AG22+AH22+AI22+AJ22+AK22+AL22+AM22+AN22+AO22+AP22+AQ22+AR22+AS22+AT22</f>
        <v>#REF!</v>
      </c>
      <c r="AW22" s="19" t="e">
        <f t="shared" si="0"/>
        <v>#REF!</v>
      </c>
    </row>
    <row r="23" spans="1:49" s="22" customFormat="1" ht="45" x14ac:dyDescent="0.25">
      <c r="A23" s="19"/>
      <c r="B23" s="11">
        <v>18</v>
      </c>
      <c r="C23" s="31" t="s">
        <v>272</v>
      </c>
      <c r="D23" s="29" t="s">
        <v>273</v>
      </c>
      <c r="E23" s="30" t="s">
        <v>323</v>
      </c>
      <c r="F23" s="38">
        <v>4205512</v>
      </c>
      <c r="G23" s="63">
        <v>2021</v>
      </c>
      <c r="H23" s="13"/>
      <c r="I23" s="39">
        <v>4280625.79</v>
      </c>
      <c r="J23" s="16">
        <v>4521000</v>
      </c>
      <c r="K23" s="16"/>
      <c r="L23" s="16"/>
      <c r="M23" s="17"/>
      <c r="N23" s="20"/>
      <c r="O23" s="20"/>
      <c r="P23" s="20">
        <v>928080</v>
      </c>
      <c r="Q23" s="20">
        <v>2153663</v>
      </c>
      <c r="R23" s="20">
        <v>1439257</v>
      </c>
      <c r="S23" s="20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32" t="e">
        <f>N23+O23+P23+Q23+R23+S23+T23+#REF!+AG23+AH23+AI23+AJ23+AK23+AL23+AM23+AN23+AO23+AP23+AQ23+AR23+AS23+AT23</f>
        <v>#REF!</v>
      </c>
      <c r="AW23" s="19" t="e">
        <f t="shared" si="0"/>
        <v>#REF!</v>
      </c>
    </row>
    <row r="24" spans="1:49" s="22" customFormat="1" ht="45" x14ac:dyDescent="0.25">
      <c r="B24" s="23">
        <v>19</v>
      </c>
      <c r="C24" s="24" t="s">
        <v>49</v>
      </c>
      <c r="D24" s="62" t="s">
        <v>50</v>
      </c>
      <c r="E24" s="77" t="s">
        <v>242</v>
      </c>
      <c r="F24" s="41">
        <v>19424414</v>
      </c>
      <c r="G24" s="52">
        <v>2020</v>
      </c>
      <c r="H24" s="27">
        <v>15</v>
      </c>
      <c r="I24" s="42">
        <v>17109773.989999998</v>
      </c>
      <c r="J24" s="43">
        <v>21732000</v>
      </c>
      <c r="K24" s="43">
        <v>6520000</v>
      </c>
      <c r="L24" s="43">
        <v>253540</v>
      </c>
      <c r="M24" s="44">
        <v>45973</v>
      </c>
      <c r="N24" s="44"/>
      <c r="O24" s="45">
        <v>6773540</v>
      </c>
      <c r="P24" s="45">
        <v>3042480</v>
      </c>
      <c r="Q24" s="45">
        <v>5348540</v>
      </c>
      <c r="R24" s="45"/>
      <c r="S24" s="45">
        <v>2151000</v>
      </c>
      <c r="T24" s="25">
        <v>3402680</v>
      </c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>
        <v>0</v>
      </c>
      <c r="AH24" s="25">
        <v>0</v>
      </c>
      <c r="AI24" s="25">
        <v>0</v>
      </c>
      <c r="AJ24" s="25">
        <v>0</v>
      </c>
      <c r="AK24" s="25">
        <v>0</v>
      </c>
      <c r="AL24" s="25">
        <v>0</v>
      </c>
      <c r="AM24" s="25">
        <v>0</v>
      </c>
      <c r="AN24" s="25">
        <v>0</v>
      </c>
      <c r="AO24" s="25">
        <v>0</v>
      </c>
      <c r="AP24" s="25">
        <v>0</v>
      </c>
      <c r="AQ24" s="25">
        <v>0</v>
      </c>
      <c r="AR24" s="25">
        <v>0</v>
      </c>
      <c r="AS24" s="25">
        <v>0</v>
      </c>
      <c r="AT24" s="25">
        <v>0</v>
      </c>
      <c r="AU24" s="25"/>
      <c r="AV24" s="26" t="e">
        <f>N24+O24+P24+Q24+R24+S24+T24+#REF!+AG24+AH24+AI24+AJ24+AK24+AL24+AM24+AN24+AO24+AP24+AQ24+AR24+AS24+AT24</f>
        <v>#REF!</v>
      </c>
      <c r="AW24" s="22" t="e">
        <f t="shared" si="0"/>
        <v>#REF!</v>
      </c>
    </row>
    <row r="25" spans="1:49" s="22" customFormat="1" ht="30" x14ac:dyDescent="0.25">
      <c r="A25" s="19"/>
      <c r="B25" s="11">
        <v>20</v>
      </c>
      <c r="C25" s="78" t="s">
        <v>274</v>
      </c>
      <c r="D25" s="85" t="s">
        <v>275</v>
      </c>
      <c r="E25" s="78" t="s">
        <v>324</v>
      </c>
      <c r="F25" s="38">
        <v>25385220</v>
      </c>
      <c r="G25" s="63">
        <v>2025</v>
      </c>
      <c r="H25" s="13"/>
      <c r="I25" s="39">
        <v>22870797.66</v>
      </c>
      <c r="J25" s="16">
        <v>14493894.4</v>
      </c>
      <c r="K25" s="16"/>
      <c r="L25" s="16"/>
      <c r="M25" s="17"/>
      <c r="N25" s="20"/>
      <c r="O25" s="20"/>
      <c r="P25" s="20"/>
      <c r="Q25" s="20"/>
      <c r="R25" s="20"/>
      <c r="S25" s="20"/>
      <c r="T25" s="18">
        <v>14493894.4</v>
      </c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32" t="e">
        <f>N25+O25+P25+Q25+R25+S25+T25+#REF!+AG25+AH25+AI25+AJ25+AK25+AL25+AM25+AN25+AO25+AP25+AQ25+AR25+AS25+AT25</f>
        <v>#REF!</v>
      </c>
      <c r="AW25" s="19" t="e">
        <f t="shared" si="0"/>
        <v>#REF!</v>
      </c>
    </row>
    <row r="26" spans="1:49" s="22" customFormat="1" ht="30" x14ac:dyDescent="0.25">
      <c r="B26" s="23">
        <v>21</v>
      </c>
      <c r="C26" s="24" t="s">
        <v>51</v>
      </c>
      <c r="D26" s="28" t="s">
        <v>52</v>
      </c>
      <c r="E26" s="27" t="s">
        <v>53</v>
      </c>
      <c r="F26" s="41">
        <v>17275557</v>
      </c>
      <c r="G26" s="52">
        <v>2021</v>
      </c>
      <c r="H26" s="27">
        <v>15</v>
      </c>
      <c r="I26" s="42">
        <v>15085217.15</v>
      </c>
      <c r="J26" s="43">
        <v>17175000</v>
      </c>
      <c r="K26" s="43">
        <v>3435000</v>
      </c>
      <c r="L26" s="43">
        <v>76340</v>
      </c>
      <c r="M26" s="44">
        <v>49976</v>
      </c>
      <c r="N26" s="44"/>
      <c r="O26" s="45"/>
      <c r="P26" s="45">
        <v>3587680</v>
      </c>
      <c r="Q26" s="45">
        <v>916080</v>
      </c>
      <c r="R26" s="45">
        <v>916080</v>
      </c>
      <c r="S26" s="45">
        <v>916080</v>
      </c>
      <c r="T26" s="59">
        <v>916080</v>
      </c>
      <c r="U26" s="25">
        <f>L26</f>
        <v>76340</v>
      </c>
      <c r="V26" s="25">
        <f>L26</f>
        <v>76340</v>
      </c>
      <c r="W26" s="25">
        <f>L26</f>
        <v>76340</v>
      </c>
      <c r="X26" s="25">
        <v>76340</v>
      </c>
      <c r="Y26" s="25">
        <v>76340</v>
      </c>
      <c r="Z26" s="25">
        <f>$L$26</f>
        <v>76340</v>
      </c>
      <c r="AA26" s="88">
        <v>76340</v>
      </c>
      <c r="AB26" s="25">
        <f>$L$26</f>
        <v>76340</v>
      </c>
      <c r="AC26" s="25">
        <f>$L$26</f>
        <v>76340</v>
      </c>
      <c r="AD26" s="25">
        <f>$L$26</f>
        <v>76340</v>
      </c>
      <c r="AE26" s="25">
        <f>$L$26</f>
        <v>76340</v>
      </c>
      <c r="AF26" s="25">
        <f>$L$26</f>
        <v>76340</v>
      </c>
      <c r="AG26" s="25">
        <v>916080</v>
      </c>
      <c r="AH26" s="25">
        <v>916080</v>
      </c>
      <c r="AI26" s="25">
        <v>916080</v>
      </c>
      <c r="AJ26" s="25">
        <v>916080</v>
      </c>
      <c r="AK26" s="25">
        <v>916080</v>
      </c>
      <c r="AL26" s="25">
        <v>916080</v>
      </c>
      <c r="AM26" s="25">
        <v>916080</v>
      </c>
      <c r="AN26" s="25">
        <v>916080</v>
      </c>
      <c r="AO26" s="25">
        <v>916080</v>
      </c>
      <c r="AP26" s="25">
        <v>762200</v>
      </c>
      <c r="AQ26" s="25">
        <v>0</v>
      </c>
      <c r="AR26" s="25">
        <v>0</v>
      </c>
      <c r="AS26" s="25">
        <v>0</v>
      </c>
      <c r="AT26" s="25">
        <v>0</v>
      </c>
      <c r="AU26" s="25"/>
      <c r="AV26" s="26" t="e">
        <f>N26+O26+P26+Q26+R26+S26+T26+#REF!+AG26+AH26+AI26+AJ26+AK26+AL26+AM26+AN26+AO26+AP26+AQ26+AR26+AS26+AT26</f>
        <v>#REF!</v>
      </c>
      <c r="AW26" s="22" t="e">
        <f t="shared" si="0"/>
        <v>#REF!</v>
      </c>
    </row>
    <row r="27" spans="1:49" s="22" customFormat="1" ht="45" x14ac:dyDescent="0.25">
      <c r="A27" s="19"/>
      <c r="B27" s="11">
        <v>22</v>
      </c>
      <c r="C27" s="29" t="s">
        <v>276</v>
      </c>
      <c r="D27" s="29" t="s">
        <v>277</v>
      </c>
      <c r="E27" s="30" t="s">
        <v>325</v>
      </c>
      <c r="F27" s="38">
        <v>17295257</v>
      </c>
      <c r="G27" s="63">
        <v>2020</v>
      </c>
      <c r="H27" s="13"/>
      <c r="I27" s="39">
        <v>16649421.470000001</v>
      </c>
      <c r="J27" s="16">
        <v>6124713.7599999998</v>
      </c>
      <c r="K27" s="16"/>
      <c r="L27" s="16"/>
      <c r="M27" s="17"/>
      <c r="N27" s="20"/>
      <c r="O27" s="20">
        <v>6124714</v>
      </c>
      <c r="P27" s="20"/>
      <c r="Q27" s="20"/>
      <c r="R27" s="20"/>
      <c r="S27" s="20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32" t="e">
        <f>N27+O27+P27+Q27+R27+S27+T27+#REF!+AG27+AH27+AI27+AJ27+AK27+AL27+AM27+AN27+AO27+AP27+AQ27+AR27+AS27+AT27</f>
        <v>#REF!</v>
      </c>
      <c r="AW27" s="19" t="e">
        <f t="shared" si="0"/>
        <v>#REF!</v>
      </c>
    </row>
    <row r="28" spans="1:49" s="22" customFormat="1" ht="45" x14ac:dyDescent="0.25">
      <c r="A28" s="19"/>
      <c r="B28" s="11">
        <v>23</v>
      </c>
      <c r="C28" s="31" t="s">
        <v>278</v>
      </c>
      <c r="D28" s="29" t="s">
        <v>279</v>
      </c>
      <c r="E28" s="30" t="s">
        <v>326</v>
      </c>
      <c r="F28" s="38">
        <v>4189878</v>
      </c>
      <c r="G28" s="63">
        <v>2021</v>
      </c>
      <c r="H28" s="13"/>
      <c r="I28" s="39">
        <v>4318212.6399999997</v>
      </c>
      <c r="J28" s="16">
        <v>4185000</v>
      </c>
      <c r="K28" s="16"/>
      <c r="L28" s="16"/>
      <c r="M28" s="17"/>
      <c r="N28" s="20"/>
      <c r="O28" s="20"/>
      <c r="P28" s="20">
        <v>4185000</v>
      </c>
      <c r="Q28" s="20"/>
      <c r="R28" s="20"/>
      <c r="S28" s="20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32" t="e">
        <f>N28+O28+P28+Q28+R28+S28+T28+#REF!+AG28+AH28+AI28+AJ28+AK28+AL28+AM28+AN28+AO28+AP28+AQ28+AR28+AS28+AT28</f>
        <v>#REF!</v>
      </c>
      <c r="AW28" s="19" t="e">
        <f t="shared" si="0"/>
        <v>#REF!</v>
      </c>
    </row>
    <row r="29" spans="1:49" s="22" customFormat="1" ht="30" x14ac:dyDescent="0.25">
      <c r="B29" s="23">
        <v>24</v>
      </c>
      <c r="C29" s="27" t="s">
        <v>54</v>
      </c>
      <c r="D29" s="24" t="s">
        <v>55</v>
      </c>
      <c r="E29" s="27" t="s">
        <v>56</v>
      </c>
      <c r="F29" s="41">
        <v>14427201</v>
      </c>
      <c r="G29" s="52">
        <v>2022</v>
      </c>
      <c r="H29" s="27">
        <v>15</v>
      </c>
      <c r="I29" s="42">
        <v>13591701.85</v>
      </c>
      <c r="J29" s="43">
        <v>16773000</v>
      </c>
      <c r="K29" s="43">
        <v>3354600</v>
      </c>
      <c r="L29" s="43">
        <v>54820</v>
      </c>
      <c r="M29" s="44">
        <v>50156</v>
      </c>
      <c r="N29" s="44"/>
      <c r="O29" s="45"/>
      <c r="P29" s="45"/>
      <c r="Q29" s="45">
        <v>3983700</v>
      </c>
      <c r="R29" s="45">
        <v>960000</v>
      </c>
      <c r="S29" s="45">
        <v>3742800</v>
      </c>
      <c r="T29" s="59">
        <v>685103</v>
      </c>
      <c r="U29" s="25">
        <v>55000</v>
      </c>
      <c r="V29" s="25">
        <v>55000</v>
      </c>
      <c r="W29" s="25">
        <v>55000</v>
      </c>
      <c r="X29" s="25">
        <v>55100</v>
      </c>
      <c r="Y29" s="25">
        <v>55000</v>
      </c>
      <c r="Z29" s="25">
        <v>55000</v>
      </c>
      <c r="AA29" s="25"/>
      <c r="AB29" s="25">
        <f>$L$29</f>
        <v>54820</v>
      </c>
      <c r="AC29" s="25">
        <f>$L$29</f>
        <v>54820</v>
      </c>
      <c r="AD29" s="25">
        <f>$L$29</f>
        <v>54820</v>
      </c>
      <c r="AE29" s="25">
        <f>$L$29</f>
        <v>54820</v>
      </c>
      <c r="AF29" s="25">
        <f>$L$29</f>
        <v>54820</v>
      </c>
      <c r="AG29" s="25">
        <v>657840</v>
      </c>
      <c r="AH29" s="25">
        <v>657840</v>
      </c>
      <c r="AI29" s="25">
        <v>657840</v>
      </c>
      <c r="AJ29" s="25">
        <v>657840</v>
      </c>
      <c r="AK29" s="25">
        <v>657840</v>
      </c>
      <c r="AL29" s="25">
        <v>657840</v>
      </c>
      <c r="AM29" s="25">
        <v>657840</v>
      </c>
      <c r="AN29" s="25">
        <v>657840</v>
      </c>
      <c r="AO29" s="25">
        <v>657840</v>
      </c>
      <c r="AP29" s="25">
        <v>657840</v>
      </c>
      <c r="AQ29" s="25">
        <v>165337</v>
      </c>
      <c r="AR29" s="25">
        <v>0</v>
      </c>
      <c r="AS29" s="25">
        <v>0</v>
      </c>
      <c r="AT29" s="25">
        <v>0</v>
      </c>
      <c r="AU29" s="25"/>
      <c r="AV29" s="26" t="e">
        <f>N29+O29+P29+Q29+R29+S29+T29+#REF!+AG29+AH29+AI29+AJ29+AK29+AL29+AM29+AN29+AO29+AP29+AQ29+AR29+AS29+AT29</f>
        <v>#REF!</v>
      </c>
      <c r="AW29" s="22" t="e">
        <f t="shared" si="0"/>
        <v>#REF!</v>
      </c>
    </row>
    <row r="30" spans="1:49" s="22" customFormat="1" ht="30" x14ac:dyDescent="0.25">
      <c r="B30" s="23">
        <v>25</v>
      </c>
      <c r="C30" s="27" t="s">
        <v>57</v>
      </c>
      <c r="D30" s="24" t="s">
        <v>58</v>
      </c>
      <c r="E30" s="27" t="s">
        <v>59</v>
      </c>
      <c r="F30" s="41">
        <v>18838227</v>
      </c>
      <c r="G30" s="52">
        <v>2023</v>
      </c>
      <c r="H30" s="27">
        <v>15</v>
      </c>
      <c r="I30" s="42">
        <v>17417908.16</v>
      </c>
      <c r="J30" s="43">
        <v>30255000</v>
      </c>
      <c r="K30" s="43">
        <v>6051000</v>
      </c>
      <c r="L30" s="43">
        <v>95745</v>
      </c>
      <c r="M30" s="44">
        <v>50660</v>
      </c>
      <c r="N30" s="44"/>
      <c r="O30" s="45"/>
      <c r="P30" s="45"/>
      <c r="Q30" s="45"/>
      <c r="R30" s="45">
        <v>6454410</v>
      </c>
      <c r="S30" s="45">
        <v>1613640</v>
      </c>
      <c r="T30" s="59">
        <v>7538570</v>
      </c>
      <c r="U30" s="25">
        <v>95750</v>
      </c>
      <c r="V30" s="25">
        <v>95750</v>
      </c>
      <c r="W30" s="25">
        <v>95750</v>
      </c>
      <c r="X30" s="25">
        <v>95750</v>
      </c>
      <c r="Y30" s="25">
        <v>95750</v>
      </c>
      <c r="Z30" s="25">
        <v>95750</v>
      </c>
      <c r="AA30" s="25"/>
      <c r="AB30" s="25">
        <f>$L$30</f>
        <v>95745</v>
      </c>
      <c r="AC30" s="25">
        <f>$L$30</f>
        <v>95745</v>
      </c>
      <c r="AD30" s="25">
        <f>$L$30</f>
        <v>95745</v>
      </c>
      <c r="AE30" s="25">
        <f>$L$30</f>
        <v>95745</v>
      </c>
      <c r="AF30" s="25">
        <f>$L$30</f>
        <v>95745</v>
      </c>
      <c r="AG30" s="25">
        <v>1148940</v>
      </c>
      <c r="AH30" s="25">
        <v>1148940</v>
      </c>
      <c r="AI30" s="25">
        <v>1148940</v>
      </c>
      <c r="AJ30" s="25">
        <v>1148940</v>
      </c>
      <c r="AK30" s="25">
        <v>1148940</v>
      </c>
      <c r="AL30" s="25">
        <v>1148940</v>
      </c>
      <c r="AM30" s="25">
        <v>1148940</v>
      </c>
      <c r="AN30" s="25">
        <v>1148940</v>
      </c>
      <c r="AO30" s="25">
        <v>1148940</v>
      </c>
      <c r="AP30" s="25">
        <v>1148940</v>
      </c>
      <c r="AQ30" s="25">
        <v>1148940</v>
      </c>
      <c r="AR30" s="25">
        <v>861100</v>
      </c>
      <c r="AS30" s="25">
        <v>0</v>
      </c>
      <c r="AT30" s="25">
        <v>0</v>
      </c>
      <c r="AU30" s="25"/>
      <c r="AV30" s="26" t="e">
        <f>N30+O30+P30+Q30+R30+S30+T30+#REF!+AG30+AH30+AI30+AJ30+AK30+AL30+AM30+AN30+AO30+AP30+AQ30+AR30+AS30+AT30</f>
        <v>#REF!</v>
      </c>
      <c r="AW30" s="22" t="e">
        <f t="shared" si="0"/>
        <v>#REF!</v>
      </c>
    </row>
    <row r="31" spans="1:49" s="22" customFormat="1" ht="45" x14ac:dyDescent="0.25">
      <c r="B31" s="23">
        <v>26</v>
      </c>
      <c r="C31" s="27" t="s">
        <v>60</v>
      </c>
      <c r="D31" s="24" t="s">
        <v>61</v>
      </c>
      <c r="E31" s="27" t="s">
        <v>62</v>
      </c>
      <c r="F31" s="41">
        <v>20235567</v>
      </c>
      <c r="G31" s="52">
        <v>2022</v>
      </c>
      <c r="H31" s="27">
        <v>15</v>
      </c>
      <c r="I31" s="42">
        <v>17556809.530000001</v>
      </c>
      <c r="J31" s="43">
        <v>22590000</v>
      </c>
      <c r="K31" s="43">
        <v>4518000</v>
      </c>
      <c r="L31" s="43">
        <v>100400</v>
      </c>
      <c r="M31" s="44">
        <v>50071</v>
      </c>
      <c r="N31" s="44"/>
      <c r="O31" s="45"/>
      <c r="P31" s="45"/>
      <c r="Q31" s="45">
        <v>5622400</v>
      </c>
      <c r="R31" s="45">
        <v>1214400</v>
      </c>
      <c r="S31" s="45">
        <v>1204800</v>
      </c>
      <c r="T31" s="59">
        <v>1204800</v>
      </c>
      <c r="U31" s="25">
        <f>L31</f>
        <v>100400</v>
      </c>
      <c r="V31" s="25">
        <f>L31</f>
        <v>100400</v>
      </c>
      <c r="W31" s="25">
        <f>L31</f>
        <v>100400</v>
      </c>
      <c r="X31" s="25">
        <v>100400</v>
      </c>
      <c r="Y31" s="25">
        <v>100400</v>
      </c>
      <c r="Z31" s="25">
        <f>$L$31</f>
        <v>100400</v>
      </c>
      <c r="AA31" s="25"/>
      <c r="AB31" s="25">
        <f>$L$31</f>
        <v>100400</v>
      </c>
      <c r="AC31" s="25">
        <f>$L$31</f>
        <v>100400</v>
      </c>
      <c r="AD31" s="25">
        <f>$L$31</f>
        <v>100400</v>
      </c>
      <c r="AE31" s="25">
        <f>$L$31</f>
        <v>100400</v>
      </c>
      <c r="AF31" s="25">
        <f>$L$31</f>
        <v>100400</v>
      </c>
      <c r="AG31" s="25">
        <v>1204800</v>
      </c>
      <c r="AH31" s="25">
        <v>1204800</v>
      </c>
      <c r="AI31" s="25">
        <v>1204800</v>
      </c>
      <c r="AJ31" s="25">
        <v>1204800</v>
      </c>
      <c r="AK31" s="25">
        <v>1204800</v>
      </c>
      <c r="AL31" s="25">
        <v>1204800</v>
      </c>
      <c r="AM31" s="25">
        <v>1204800</v>
      </c>
      <c r="AN31" s="25">
        <v>1204800</v>
      </c>
      <c r="AO31" s="25">
        <v>1204800</v>
      </c>
      <c r="AP31" s="25">
        <v>1204800</v>
      </c>
      <c r="AQ31" s="25">
        <v>90800</v>
      </c>
      <c r="AR31" s="25">
        <v>0</v>
      </c>
      <c r="AS31" s="25">
        <v>0</v>
      </c>
      <c r="AT31" s="25">
        <v>0</v>
      </c>
      <c r="AU31" s="25"/>
      <c r="AV31" s="26" t="e">
        <f>N31+O31+P31+Q31+R31+S31+T31+#REF!+AG31+AH31+AI31+AJ31+AK31+AL31+AM31+AN31+AO31+AP31+AQ31+AR31+AS31+AT31</f>
        <v>#REF!</v>
      </c>
      <c r="AW31" s="22" t="e">
        <f t="shared" si="0"/>
        <v>#REF!</v>
      </c>
    </row>
    <row r="32" spans="1:49" s="22" customFormat="1" ht="30" x14ac:dyDescent="0.25">
      <c r="B32" s="23">
        <v>27</v>
      </c>
      <c r="C32" s="28" t="s">
        <v>63</v>
      </c>
      <c r="D32" s="79" t="s">
        <v>64</v>
      </c>
      <c r="E32" s="80" t="s">
        <v>65</v>
      </c>
      <c r="F32" s="41">
        <v>18409165</v>
      </c>
      <c r="G32" s="52">
        <v>2025</v>
      </c>
      <c r="H32" s="27">
        <v>15</v>
      </c>
      <c r="I32" s="42">
        <v>15172705.779999999</v>
      </c>
      <c r="J32" s="43">
        <v>28152000</v>
      </c>
      <c r="K32" s="43">
        <v>5630400</v>
      </c>
      <c r="L32" s="43">
        <v>125120</v>
      </c>
      <c r="M32" s="44">
        <v>51423</v>
      </c>
      <c r="N32" s="44"/>
      <c r="O32" s="45"/>
      <c r="P32" s="45"/>
      <c r="Q32" s="45"/>
      <c r="R32" s="45"/>
      <c r="S32" s="45"/>
      <c r="T32" s="59">
        <v>5880640</v>
      </c>
      <c r="U32" s="25">
        <f>L32</f>
        <v>125120</v>
      </c>
      <c r="V32" s="25">
        <f>L32</f>
        <v>125120</v>
      </c>
      <c r="W32" s="25">
        <f>L32</f>
        <v>125120</v>
      </c>
      <c r="X32" s="25">
        <v>125120</v>
      </c>
      <c r="Y32" s="25">
        <v>125120</v>
      </c>
      <c r="Z32" s="25">
        <f t="shared" ref="Z32:AF32" si="2">$L$32</f>
        <v>125120</v>
      </c>
      <c r="AA32" s="88">
        <f t="shared" si="2"/>
        <v>125120</v>
      </c>
      <c r="AB32" s="25">
        <f t="shared" si="2"/>
        <v>125120</v>
      </c>
      <c r="AC32" s="25">
        <f t="shared" si="2"/>
        <v>125120</v>
      </c>
      <c r="AD32" s="25">
        <f t="shared" si="2"/>
        <v>125120</v>
      </c>
      <c r="AE32" s="25">
        <f t="shared" si="2"/>
        <v>125120</v>
      </c>
      <c r="AF32" s="25">
        <f t="shared" si="2"/>
        <v>125120</v>
      </c>
      <c r="AG32" s="25">
        <v>1501440</v>
      </c>
      <c r="AH32" s="25">
        <v>1501440</v>
      </c>
      <c r="AI32" s="25">
        <v>1501440</v>
      </c>
      <c r="AJ32" s="25">
        <v>1501440</v>
      </c>
      <c r="AK32" s="25">
        <v>1501440</v>
      </c>
      <c r="AL32" s="25">
        <v>1501440</v>
      </c>
      <c r="AM32" s="25">
        <v>1501440</v>
      </c>
      <c r="AN32" s="25">
        <v>1501440</v>
      </c>
      <c r="AO32" s="25">
        <v>1501440</v>
      </c>
      <c r="AP32" s="25">
        <v>1501440</v>
      </c>
      <c r="AQ32" s="25">
        <v>1501440</v>
      </c>
      <c r="AR32" s="25">
        <v>1501440</v>
      </c>
      <c r="AS32" s="25">
        <v>1501440</v>
      </c>
      <c r="AT32" s="25">
        <v>1251200</v>
      </c>
      <c r="AU32" s="25"/>
      <c r="AV32" s="26" t="e">
        <f>N32+O32+P32+Q32+R32+S32+T32+#REF!+AG32+AH32+AI32+AJ32+AK32+AL32+AM32+AN32+AO32+AP32+AQ32+AR32+AS32+AT32</f>
        <v>#REF!</v>
      </c>
      <c r="AW32" s="22" t="e">
        <f t="shared" si="0"/>
        <v>#REF!</v>
      </c>
    </row>
    <row r="33" spans="1:49" s="22" customFormat="1" ht="45" x14ac:dyDescent="0.25">
      <c r="A33" s="19"/>
      <c r="B33" s="11">
        <v>28</v>
      </c>
      <c r="C33" s="35" t="s">
        <v>280</v>
      </c>
      <c r="D33" s="29" t="s">
        <v>281</v>
      </c>
      <c r="E33" s="30" t="s">
        <v>346</v>
      </c>
      <c r="F33" s="38">
        <v>4236780</v>
      </c>
      <c r="G33" s="63">
        <v>2022</v>
      </c>
      <c r="H33" s="13"/>
      <c r="I33" s="39">
        <v>4289267.12</v>
      </c>
      <c r="J33" s="16">
        <v>4638000</v>
      </c>
      <c r="K33" s="16"/>
      <c r="L33" s="16"/>
      <c r="M33" s="17"/>
      <c r="N33" s="20"/>
      <c r="O33" s="20"/>
      <c r="P33" s="20"/>
      <c r="Q33" s="20">
        <v>4638000</v>
      </c>
      <c r="R33" s="20"/>
      <c r="S33" s="20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32" t="e">
        <f>N33+O33+P33+Q33+R33+S33+T33+#REF!+AG33+AH33+AI33+AJ33+AK33+AL33+AM33+AN33+AO33+AP33+AQ33+AR33+AS33+AT33</f>
        <v>#REF!</v>
      </c>
      <c r="AW33" s="19" t="e">
        <f t="shared" si="0"/>
        <v>#REF!</v>
      </c>
    </row>
    <row r="34" spans="1:49" s="22" customFormat="1" ht="45" x14ac:dyDescent="0.25">
      <c r="B34" s="23">
        <v>29</v>
      </c>
      <c r="C34" s="24" t="s">
        <v>66</v>
      </c>
      <c r="D34" s="24" t="s">
        <v>67</v>
      </c>
      <c r="E34" s="27" t="s">
        <v>68</v>
      </c>
      <c r="F34" s="41">
        <v>19888512</v>
      </c>
      <c r="G34" s="52">
        <v>2021</v>
      </c>
      <c r="H34" s="27">
        <v>15</v>
      </c>
      <c r="I34" s="42">
        <v>17405909.640000001</v>
      </c>
      <c r="J34" s="43">
        <v>20229000</v>
      </c>
      <c r="K34" s="43">
        <v>4045800</v>
      </c>
      <c r="L34" s="43">
        <v>59150</v>
      </c>
      <c r="M34" s="44">
        <v>49822</v>
      </c>
      <c r="N34" s="44"/>
      <c r="O34" s="45"/>
      <c r="P34" s="45">
        <v>4675170</v>
      </c>
      <c r="Q34" s="45">
        <v>6030830</v>
      </c>
      <c r="R34" s="45">
        <v>709800</v>
      </c>
      <c r="S34" s="45">
        <v>2512150</v>
      </c>
      <c r="T34" s="59">
        <v>3043050</v>
      </c>
      <c r="U34" s="25" t="s">
        <v>381</v>
      </c>
      <c r="V34" s="25" t="s">
        <v>381</v>
      </c>
      <c r="W34" s="25" t="s">
        <v>381</v>
      </c>
      <c r="X34" s="25" t="s">
        <v>381</v>
      </c>
      <c r="Y34" s="25" t="s">
        <v>381</v>
      </c>
      <c r="Z34" s="25">
        <f>447532+160480</f>
        <v>608012</v>
      </c>
      <c r="AA34" s="25"/>
      <c r="AB34" s="25"/>
      <c r="AC34" s="25"/>
      <c r="AD34" s="25"/>
      <c r="AE34" s="25"/>
      <c r="AF34" s="25"/>
      <c r="AG34" s="25">
        <v>0</v>
      </c>
      <c r="AH34" s="25">
        <v>0</v>
      </c>
      <c r="AI34" s="25">
        <v>0</v>
      </c>
      <c r="AJ34" s="25">
        <v>0</v>
      </c>
      <c r="AK34" s="25">
        <v>177450</v>
      </c>
      <c r="AL34" s="25">
        <v>709800</v>
      </c>
      <c r="AM34" s="25">
        <v>709800</v>
      </c>
      <c r="AN34" s="25">
        <v>709800</v>
      </c>
      <c r="AO34" s="25">
        <v>709800</v>
      </c>
      <c r="AP34" s="25">
        <v>241350</v>
      </c>
      <c r="AQ34" s="25">
        <v>0</v>
      </c>
      <c r="AR34" s="25">
        <v>0</v>
      </c>
      <c r="AS34" s="25">
        <v>0</v>
      </c>
      <c r="AT34" s="25">
        <v>0</v>
      </c>
      <c r="AU34" s="25"/>
      <c r="AV34" s="26" t="e">
        <f>N34+O34+P34+Q34+R34+S34+T34+#REF!+AG34+AH34+AI34+AJ34+AK34+AL34+AM34+AN34+AO34+AP34+AQ34+AR34+AS34+AT34</f>
        <v>#REF!</v>
      </c>
      <c r="AW34" s="22" t="e">
        <f t="shared" si="0"/>
        <v>#REF!</v>
      </c>
    </row>
    <row r="35" spans="1:49" s="22" customFormat="1" ht="30" x14ac:dyDescent="0.25">
      <c r="B35" s="23">
        <v>30</v>
      </c>
      <c r="C35" s="27" t="s">
        <v>69</v>
      </c>
      <c r="D35" s="24" t="s">
        <v>70</v>
      </c>
      <c r="E35" s="27" t="s">
        <v>71</v>
      </c>
      <c r="F35" s="41">
        <v>23230560</v>
      </c>
      <c r="G35" s="52">
        <v>2022</v>
      </c>
      <c r="H35" s="27">
        <v>15</v>
      </c>
      <c r="I35" s="42">
        <v>21885245.920000002</v>
      </c>
      <c r="J35" s="43">
        <v>25896000</v>
      </c>
      <c r="K35" s="43">
        <v>5200000</v>
      </c>
      <c r="L35" s="43">
        <v>82600</v>
      </c>
      <c r="M35" s="44">
        <v>50145</v>
      </c>
      <c r="N35" s="44"/>
      <c r="O35" s="45"/>
      <c r="P35" s="45"/>
      <c r="Q35" s="45">
        <v>11722484</v>
      </c>
      <c r="R35" s="45">
        <v>1055000</v>
      </c>
      <c r="S35" s="45">
        <v>1041000</v>
      </c>
      <c r="T35" s="59">
        <v>1115000</v>
      </c>
      <c r="U35" s="25">
        <v>85000</v>
      </c>
      <c r="V35" s="25">
        <v>85000</v>
      </c>
      <c r="W35" s="25">
        <v>85000</v>
      </c>
      <c r="X35" s="25">
        <v>85000</v>
      </c>
      <c r="Y35" s="25">
        <v>85000</v>
      </c>
      <c r="Z35" s="25">
        <v>85000</v>
      </c>
      <c r="AA35" s="25"/>
      <c r="AB35" s="25">
        <f>$L$35</f>
        <v>82600</v>
      </c>
      <c r="AC35" s="25">
        <f>$L$35</f>
        <v>82600</v>
      </c>
      <c r="AD35" s="25">
        <f>$L$35</f>
        <v>82600</v>
      </c>
      <c r="AE35" s="25">
        <f>$L$35</f>
        <v>82600</v>
      </c>
      <c r="AF35" s="25">
        <f>$L$35</f>
        <v>82600</v>
      </c>
      <c r="AG35" s="25">
        <v>991200</v>
      </c>
      <c r="AH35" s="25">
        <v>991200</v>
      </c>
      <c r="AI35" s="25">
        <v>991200</v>
      </c>
      <c r="AJ35" s="25">
        <v>991200</v>
      </c>
      <c r="AK35" s="25">
        <v>991200</v>
      </c>
      <c r="AL35" s="25">
        <v>991200</v>
      </c>
      <c r="AM35" s="25">
        <v>991200</v>
      </c>
      <c r="AN35" s="25">
        <v>991200</v>
      </c>
      <c r="AO35" s="25">
        <v>991200</v>
      </c>
      <c r="AP35" s="25">
        <v>991200</v>
      </c>
      <c r="AQ35" s="25">
        <v>61716</v>
      </c>
      <c r="AR35" s="25">
        <v>0</v>
      </c>
      <c r="AS35" s="25">
        <v>0</v>
      </c>
      <c r="AT35" s="25">
        <v>0</v>
      </c>
      <c r="AU35" s="25"/>
      <c r="AV35" s="26" t="e">
        <f>N35+O35+P35+Q35+R35+S35+T35+#REF!+AG35+AH35+AI35+AJ35+AK35+AL35+AM35+AN35+AO35+AP35+AQ35+AR35+AS35+AT35</f>
        <v>#REF!</v>
      </c>
      <c r="AW35" s="22" t="e">
        <f t="shared" si="0"/>
        <v>#REF!</v>
      </c>
    </row>
    <row r="36" spans="1:49" s="22" customFormat="1" ht="45" x14ac:dyDescent="0.25">
      <c r="A36" s="19"/>
      <c r="B36" s="11">
        <v>31</v>
      </c>
      <c r="C36" s="29" t="s">
        <v>282</v>
      </c>
      <c r="D36" s="29" t="s">
        <v>283</v>
      </c>
      <c r="E36" s="30" t="s">
        <v>327</v>
      </c>
      <c r="F36" s="38">
        <v>27649498</v>
      </c>
      <c r="G36" s="63">
        <v>2019</v>
      </c>
      <c r="H36" s="13"/>
      <c r="I36" s="39">
        <v>27142590.5</v>
      </c>
      <c r="J36" s="16">
        <v>9716428.3599999994</v>
      </c>
      <c r="K36" s="16"/>
      <c r="L36" s="16"/>
      <c r="M36" s="17"/>
      <c r="N36" s="20">
        <v>9716428.3599999994</v>
      </c>
      <c r="O36" s="20"/>
      <c r="P36" s="20"/>
      <c r="Q36" s="20"/>
      <c r="R36" s="20"/>
      <c r="S36" s="20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32" t="e">
        <f>N36+O36+P36+Q36+R36+S36+T36+#REF!+AG36+AH36+AI36+AJ36+AK36+AL36+AM36+AN36+AO36+AP36+AQ36+AR36+AS36+AT36</f>
        <v>#REF!</v>
      </c>
      <c r="AW36" s="19" t="e">
        <f t="shared" si="0"/>
        <v>#REF!</v>
      </c>
    </row>
    <row r="37" spans="1:49" s="22" customFormat="1" ht="30" x14ac:dyDescent="0.25">
      <c r="B37" s="23">
        <v>32</v>
      </c>
      <c r="C37" s="62" t="s">
        <v>375</v>
      </c>
      <c r="D37" s="79" t="s">
        <v>376</v>
      </c>
      <c r="E37" s="80" t="s">
        <v>377</v>
      </c>
      <c r="F37" s="70">
        <v>20771000</v>
      </c>
      <c r="G37" s="52">
        <v>2026</v>
      </c>
      <c r="H37" s="27">
        <v>15</v>
      </c>
      <c r="I37" s="74">
        <v>19836304.82</v>
      </c>
      <c r="J37" s="43">
        <v>24690000</v>
      </c>
      <c r="K37" s="43">
        <f>1988000+2950000</f>
        <v>4938000</v>
      </c>
      <c r="L37" s="43">
        <v>109650</v>
      </c>
      <c r="M37" s="44">
        <v>51559</v>
      </c>
      <c r="N37" s="45"/>
      <c r="O37" s="45"/>
      <c r="P37" s="45"/>
      <c r="Q37" s="45"/>
      <c r="R37" s="45"/>
      <c r="S37" s="45"/>
      <c r="T37" s="25"/>
      <c r="U37" s="25"/>
      <c r="V37" s="25">
        <v>1988000</v>
      </c>
      <c r="W37" s="25">
        <f>126200+2950000</f>
        <v>3076200</v>
      </c>
      <c r="X37" s="25">
        <v>109650</v>
      </c>
      <c r="Y37" s="25">
        <v>109650</v>
      </c>
      <c r="Z37" s="25">
        <f>$L$37</f>
        <v>109650</v>
      </c>
      <c r="AA37" s="88">
        <v>110000</v>
      </c>
      <c r="AB37" s="25">
        <f>$L$37</f>
        <v>109650</v>
      </c>
      <c r="AC37" s="25">
        <f>$L$37</f>
        <v>109650</v>
      </c>
      <c r="AD37" s="25">
        <f>$L$37</f>
        <v>109650</v>
      </c>
      <c r="AE37" s="25">
        <f>$L$37</f>
        <v>109650</v>
      </c>
      <c r="AF37" s="25">
        <f>$L$37</f>
        <v>109650</v>
      </c>
      <c r="AG37" s="25">
        <v>1315800</v>
      </c>
      <c r="AH37" s="25">
        <v>1315800</v>
      </c>
      <c r="AI37" s="25">
        <v>1315800</v>
      </c>
      <c r="AJ37" s="25">
        <v>1315800</v>
      </c>
      <c r="AK37" s="25">
        <v>1315800</v>
      </c>
      <c r="AL37" s="25">
        <v>1315800</v>
      </c>
      <c r="AM37" s="25">
        <v>1315800</v>
      </c>
      <c r="AN37" s="25">
        <v>1315800</v>
      </c>
      <c r="AO37" s="25">
        <v>1315800</v>
      </c>
      <c r="AP37" s="25">
        <v>1315800</v>
      </c>
      <c r="AQ37" s="25">
        <v>1315800</v>
      </c>
      <c r="AR37" s="25">
        <v>1315800</v>
      </c>
      <c r="AS37" s="25">
        <v>1315800</v>
      </c>
      <c r="AT37" s="25">
        <v>1315800</v>
      </c>
      <c r="AU37" s="25">
        <v>217750</v>
      </c>
      <c r="AV37" s="32" t="e">
        <f>N37+O37+P37+Q37+R37+S37+T37+#REF!+AG37+AH37+AI37+AJ37+AK37+AL37+AM37+AN37+AO37+AP37+AQ37+AR37+AS37+AT37+AU37</f>
        <v>#REF!</v>
      </c>
      <c r="AW37" s="19" t="e">
        <f t="shared" si="0"/>
        <v>#REF!</v>
      </c>
    </row>
    <row r="38" spans="1:49" s="22" customFormat="1" ht="30" x14ac:dyDescent="0.25">
      <c r="B38" s="23">
        <v>33</v>
      </c>
      <c r="C38" s="24" t="s">
        <v>72</v>
      </c>
      <c r="D38" s="24" t="s">
        <v>73</v>
      </c>
      <c r="E38" s="27" t="s">
        <v>74</v>
      </c>
      <c r="F38" s="41">
        <v>15046246</v>
      </c>
      <c r="G38" s="52">
        <v>2020</v>
      </c>
      <c r="H38" s="27">
        <v>15</v>
      </c>
      <c r="I38" s="42">
        <v>14453442.880000001</v>
      </c>
      <c r="J38" s="43">
        <v>15524000</v>
      </c>
      <c r="K38" s="43">
        <v>3104800</v>
      </c>
      <c r="L38" s="43">
        <v>69000</v>
      </c>
      <c r="M38" s="44">
        <v>49618</v>
      </c>
      <c r="N38" s="44"/>
      <c r="O38" s="45">
        <v>3173800</v>
      </c>
      <c r="P38" s="45">
        <v>897000</v>
      </c>
      <c r="Q38" s="45">
        <v>828000</v>
      </c>
      <c r="R38" s="45">
        <v>828000</v>
      </c>
      <c r="S38" s="45">
        <v>759000</v>
      </c>
      <c r="T38" s="59">
        <v>897000</v>
      </c>
      <c r="U38" s="25"/>
      <c r="V38" s="25">
        <v>69000</v>
      </c>
      <c r="W38" s="25">
        <v>69000</v>
      </c>
      <c r="X38" s="25">
        <v>69000</v>
      </c>
      <c r="Y38" s="25">
        <v>69000</v>
      </c>
      <c r="Z38" s="25">
        <f t="shared" ref="Z38:AF38" si="3">$L$38</f>
        <v>69000</v>
      </c>
      <c r="AA38" s="88">
        <f t="shared" si="3"/>
        <v>69000</v>
      </c>
      <c r="AB38" s="25">
        <f t="shared" si="3"/>
        <v>69000</v>
      </c>
      <c r="AC38" s="25">
        <f t="shared" si="3"/>
        <v>69000</v>
      </c>
      <c r="AD38" s="25">
        <f t="shared" si="3"/>
        <v>69000</v>
      </c>
      <c r="AE38" s="25">
        <f t="shared" si="3"/>
        <v>69000</v>
      </c>
      <c r="AF38" s="25">
        <f t="shared" si="3"/>
        <v>69000</v>
      </c>
      <c r="AG38" s="25">
        <v>828000</v>
      </c>
      <c r="AH38" s="25">
        <v>828000</v>
      </c>
      <c r="AI38" s="25">
        <v>828000</v>
      </c>
      <c r="AJ38" s="25">
        <v>828000</v>
      </c>
      <c r="AK38" s="25">
        <v>828000</v>
      </c>
      <c r="AL38" s="25">
        <v>828000</v>
      </c>
      <c r="AM38" s="25">
        <v>828000</v>
      </c>
      <c r="AN38" s="25">
        <v>828000</v>
      </c>
      <c r="AO38" s="25">
        <v>689200</v>
      </c>
      <c r="AP38" s="25">
        <v>0</v>
      </c>
      <c r="AQ38" s="25">
        <v>0</v>
      </c>
      <c r="AR38" s="25">
        <v>0</v>
      </c>
      <c r="AS38" s="25">
        <v>0</v>
      </c>
      <c r="AT38" s="25">
        <v>0</v>
      </c>
      <c r="AU38" s="25"/>
      <c r="AV38" s="26" t="e">
        <f>N38+O38+P38+Q38+R38+S38+T38+#REF!+AG38+AH38+AI38+AJ38+AK38+AL38+AM38+AN38+AO38+AP38+AQ38+AR38+AS38+AT38</f>
        <v>#REF!</v>
      </c>
      <c r="AW38" s="22" t="e">
        <f t="shared" si="0"/>
        <v>#REF!</v>
      </c>
    </row>
    <row r="39" spans="1:49" s="22" customFormat="1" ht="45" x14ac:dyDescent="0.25">
      <c r="A39" s="19"/>
      <c r="B39" s="11">
        <v>34</v>
      </c>
      <c r="C39" s="29" t="s">
        <v>284</v>
      </c>
      <c r="D39" s="29" t="s">
        <v>285</v>
      </c>
      <c r="E39" s="30" t="s">
        <v>328</v>
      </c>
      <c r="F39" s="38">
        <v>4201018</v>
      </c>
      <c r="G39" s="63">
        <v>2021</v>
      </c>
      <c r="H39" s="13"/>
      <c r="I39" s="46">
        <v>4370093.29</v>
      </c>
      <c r="J39" s="16">
        <v>4243000</v>
      </c>
      <c r="K39" s="16"/>
      <c r="L39" s="16"/>
      <c r="M39" s="17"/>
      <c r="N39" s="20"/>
      <c r="O39" s="20"/>
      <c r="P39" s="20">
        <v>981000</v>
      </c>
      <c r="Q39" s="20">
        <v>226800</v>
      </c>
      <c r="R39" s="20">
        <v>3038400</v>
      </c>
      <c r="S39" s="20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32" t="e">
        <f>N39+O39+P39+Q39+R39+S39+T39+#REF!+AG39+AH39+AI39+AJ39+AK39+AL39+AM39+AN39+AO39+AP39+AQ39+AR39+AS39+AT39</f>
        <v>#REF!</v>
      </c>
      <c r="AW39" s="19" t="e">
        <f t="shared" si="0"/>
        <v>#REF!</v>
      </c>
    </row>
    <row r="40" spans="1:49" s="22" customFormat="1" ht="30" x14ac:dyDescent="0.25">
      <c r="B40" s="23">
        <v>35</v>
      </c>
      <c r="C40" s="27" t="s">
        <v>75</v>
      </c>
      <c r="D40" s="24" t="s">
        <v>76</v>
      </c>
      <c r="E40" s="27" t="s">
        <v>77</v>
      </c>
      <c r="F40" s="41">
        <v>22716000</v>
      </c>
      <c r="G40" s="52">
        <v>2022</v>
      </c>
      <c r="H40" s="27">
        <v>15</v>
      </c>
      <c r="I40" s="42">
        <v>22469910</v>
      </c>
      <c r="J40" s="43">
        <v>23611000</v>
      </c>
      <c r="K40" s="43">
        <v>4722200</v>
      </c>
      <c r="L40" s="43">
        <v>104940</v>
      </c>
      <c r="M40" s="44">
        <v>50235</v>
      </c>
      <c r="N40" s="44"/>
      <c r="O40" s="45"/>
      <c r="P40" s="45"/>
      <c r="Q40" s="45">
        <v>5247200</v>
      </c>
      <c r="R40" s="45">
        <v>1260000</v>
      </c>
      <c r="S40" s="45">
        <v>1260000</v>
      </c>
      <c r="T40" s="59">
        <v>1260000</v>
      </c>
      <c r="U40" s="25">
        <v>105000</v>
      </c>
      <c r="V40" s="25">
        <v>105000</v>
      </c>
      <c r="W40" s="25">
        <v>105000</v>
      </c>
      <c r="X40" s="25">
        <v>105000</v>
      </c>
      <c r="Y40" s="25">
        <v>105000</v>
      </c>
      <c r="Z40" s="25">
        <v>105000</v>
      </c>
      <c r="AA40" s="25"/>
      <c r="AB40" s="25">
        <f>$L$40</f>
        <v>104940</v>
      </c>
      <c r="AC40" s="25">
        <f>$L$40</f>
        <v>104940</v>
      </c>
      <c r="AD40" s="25">
        <f>$L$40</f>
        <v>104940</v>
      </c>
      <c r="AE40" s="25">
        <f>$L$40</f>
        <v>104940</v>
      </c>
      <c r="AF40" s="25">
        <f>$L$40</f>
        <v>104940</v>
      </c>
      <c r="AG40" s="25">
        <v>1259280</v>
      </c>
      <c r="AH40" s="25">
        <v>1259280</v>
      </c>
      <c r="AI40" s="25">
        <v>1259280</v>
      </c>
      <c r="AJ40" s="25">
        <v>1259280</v>
      </c>
      <c r="AK40" s="25">
        <v>1259280</v>
      </c>
      <c r="AL40" s="25">
        <v>1259280</v>
      </c>
      <c r="AM40" s="25">
        <v>1259280</v>
      </c>
      <c r="AN40" s="25">
        <v>1259280</v>
      </c>
      <c r="AO40" s="25">
        <v>1259280</v>
      </c>
      <c r="AP40" s="25">
        <v>1259280</v>
      </c>
      <c r="AQ40" s="25">
        <v>731780</v>
      </c>
      <c r="AR40" s="25">
        <v>0</v>
      </c>
      <c r="AS40" s="25">
        <v>0</v>
      </c>
      <c r="AT40" s="25">
        <v>0</v>
      </c>
      <c r="AU40" s="25"/>
      <c r="AV40" s="26" t="e">
        <f>N40+O40+P40+Q40+R40+S40+T40+#REF!+AG40+AH40+AI40+AJ40+AK40+AL40+AM40+AN40+AO40+AP40+AQ40+AR40+AS40+AT40</f>
        <v>#REF!</v>
      </c>
      <c r="AW40" s="22" t="e">
        <f t="shared" si="0"/>
        <v>#REF!</v>
      </c>
    </row>
    <row r="41" spans="1:49" s="22" customFormat="1" ht="30" x14ac:dyDescent="0.25">
      <c r="B41" s="23">
        <v>36</v>
      </c>
      <c r="C41" s="27" t="s">
        <v>78</v>
      </c>
      <c r="D41" s="24" t="s">
        <v>79</v>
      </c>
      <c r="E41" s="27" t="s">
        <v>80</v>
      </c>
      <c r="F41" s="41">
        <v>17324000</v>
      </c>
      <c r="G41" s="52">
        <v>2022</v>
      </c>
      <c r="H41" s="27">
        <v>15</v>
      </c>
      <c r="I41" s="42">
        <v>17222943.309999999</v>
      </c>
      <c r="J41" s="43">
        <v>17354000</v>
      </c>
      <c r="K41" s="43">
        <v>3470800</v>
      </c>
      <c r="L41" s="43">
        <v>77130</v>
      </c>
      <c r="M41" s="44">
        <v>50052</v>
      </c>
      <c r="N41" s="44"/>
      <c r="O41" s="45"/>
      <c r="P41" s="45"/>
      <c r="Q41" s="45">
        <v>4319230</v>
      </c>
      <c r="R41" s="45">
        <v>925560</v>
      </c>
      <c r="S41" s="45">
        <v>925560</v>
      </c>
      <c r="T41" s="59">
        <v>925560</v>
      </c>
      <c r="U41" s="25">
        <f>L41</f>
        <v>77130</v>
      </c>
      <c r="V41" s="25">
        <f>L41</f>
        <v>77130</v>
      </c>
      <c r="W41" s="25">
        <f>L41</f>
        <v>77130</v>
      </c>
      <c r="X41" s="25">
        <v>77130</v>
      </c>
      <c r="Y41" s="25">
        <v>77130</v>
      </c>
      <c r="Z41" s="25">
        <v>77130</v>
      </c>
      <c r="AA41" s="88">
        <v>77130</v>
      </c>
      <c r="AB41" s="25">
        <f>$L$41</f>
        <v>77130</v>
      </c>
      <c r="AC41" s="25">
        <f>$L$41</f>
        <v>77130</v>
      </c>
      <c r="AD41" s="25">
        <f>$L$41</f>
        <v>77130</v>
      </c>
      <c r="AE41" s="25">
        <f>$L$41</f>
        <v>77130</v>
      </c>
      <c r="AF41" s="25">
        <f>$L$41</f>
        <v>77130</v>
      </c>
      <c r="AG41" s="25">
        <v>925560</v>
      </c>
      <c r="AH41" s="25">
        <v>925560</v>
      </c>
      <c r="AI41" s="25">
        <v>925560</v>
      </c>
      <c r="AJ41" s="25">
        <v>925560</v>
      </c>
      <c r="AK41" s="25">
        <v>925560</v>
      </c>
      <c r="AL41" s="25">
        <v>925560</v>
      </c>
      <c r="AM41" s="25">
        <v>925560</v>
      </c>
      <c r="AN41" s="25">
        <v>925560</v>
      </c>
      <c r="AO41" s="25">
        <v>925560</v>
      </c>
      <c r="AP41" s="25">
        <v>925560</v>
      </c>
      <c r="AQ41" s="25">
        <v>76930</v>
      </c>
      <c r="AR41" s="25">
        <v>0</v>
      </c>
      <c r="AS41" s="25">
        <v>0</v>
      </c>
      <c r="AT41" s="25">
        <v>0</v>
      </c>
      <c r="AU41" s="25"/>
      <c r="AV41" s="26" t="e">
        <f>N41+O41+P41+Q41+R41+S41+T41+#REF!+AG41+AH41+AI41+AJ41+AK41+AL41+AM41+AN41+AO41+AP41+AQ41+AR41+AS41+AT41</f>
        <v>#REF!</v>
      </c>
      <c r="AW41" s="22" t="e">
        <f t="shared" si="0"/>
        <v>#REF!</v>
      </c>
    </row>
    <row r="42" spans="1:49" s="19" customFormat="1" ht="30" x14ac:dyDescent="0.25">
      <c r="B42" s="11">
        <v>37</v>
      </c>
      <c r="C42" s="29" t="s">
        <v>286</v>
      </c>
      <c r="D42" s="29" t="s">
        <v>287</v>
      </c>
      <c r="E42" s="30" t="s">
        <v>329</v>
      </c>
      <c r="F42" s="38">
        <v>25866556</v>
      </c>
      <c r="G42" s="63">
        <v>2021</v>
      </c>
      <c r="H42" s="13"/>
      <c r="I42" s="39">
        <v>24687826.850000001</v>
      </c>
      <c r="J42" s="16">
        <v>14768716.800000001</v>
      </c>
      <c r="K42" s="16"/>
      <c r="L42" s="16"/>
      <c r="M42" s="17"/>
      <c r="N42" s="20"/>
      <c r="O42" s="20"/>
      <c r="P42" s="20">
        <v>14768716.800000001</v>
      </c>
      <c r="Q42" s="20"/>
      <c r="R42" s="20"/>
      <c r="S42" s="20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32" t="e">
        <f>N42+O42+P42+Q42+R42+S42+T42+#REF!+AG42+AH42+AI42+AJ42+AK42+AL42+AM42+AN42+AO42+AP42+AQ42+AR42+AS42+AT42</f>
        <v>#REF!</v>
      </c>
      <c r="AW42" s="19" t="e">
        <f t="shared" si="0"/>
        <v>#REF!</v>
      </c>
    </row>
    <row r="43" spans="1:49" s="22" customFormat="1" ht="30" x14ac:dyDescent="0.25">
      <c r="B43" s="23">
        <v>38</v>
      </c>
      <c r="C43" s="57" t="s">
        <v>371</v>
      </c>
      <c r="D43" s="79" t="s">
        <v>369</v>
      </c>
      <c r="E43" s="80" t="s">
        <v>370</v>
      </c>
      <c r="F43" s="70">
        <v>24729044</v>
      </c>
      <c r="G43" s="52">
        <v>2026</v>
      </c>
      <c r="H43" s="27">
        <v>15</v>
      </c>
      <c r="I43" s="74">
        <v>20358159.829999998</v>
      </c>
      <c r="J43" s="43">
        <v>37723000</v>
      </c>
      <c r="K43" s="43">
        <v>7544600</v>
      </c>
      <c r="L43" s="43">
        <v>167660</v>
      </c>
      <c r="M43" s="44"/>
      <c r="N43" s="45"/>
      <c r="O43" s="45"/>
      <c r="P43" s="45"/>
      <c r="Q43" s="45"/>
      <c r="R43" s="45"/>
      <c r="S43" s="45"/>
      <c r="T43" s="25"/>
      <c r="U43" s="25">
        <v>7544600</v>
      </c>
      <c r="V43" s="25">
        <f>L43</f>
        <v>167660</v>
      </c>
      <c r="W43" s="25">
        <v>167700</v>
      </c>
      <c r="X43" s="25">
        <v>167500</v>
      </c>
      <c r="Y43" s="25">
        <v>167700</v>
      </c>
      <c r="Z43" s="83">
        <v>168000</v>
      </c>
      <c r="AA43" s="25"/>
      <c r="AB43" s="25">
        <f>$L$43</f>
        <v>167660</v>
      </c>
      <c r="AC43" s="25">
        <f>$L$43</f>
        <v>167660</v>
      </c>
      <c r="AD43" s="25">
        <f>$L$43</f>
        <v>167660</v>
      </c>
      <c r="AE43" s="25">
        <f>$L$43</f>
        <v>167660</v>
      </c>
      <c r="AF43" s="25">
        <f>$L$43</f>
        <v>167660</v>
      </c>
      <c r="AG43" s="25">
        <v>2011920</v>
      </c>
      <c r="AH43" s="25">
        <v>2011920</v>
      </c>
      <c r="AI43" s="25">
        <v>2011920</v>
      </c>
      <c r="AJ43" s="25">
        <v>2011920</v>
      </c>
      <c r="AK43" s="25">
        <v>2011920</v>
      </c>
      <c r="AL43" s="25">
        <v>2011920</v>
      </c>
      <c r="AM43" s="25">
        <v>2011920</v>
      </c>
      <c r="AN43" s="25">
        <v>2011920</v>
      </c>
      <c r="AO43" s="25">
        <v>2011920</v>
      </c>
      <c r="AP43" s="25">
        <v>2011920</v>
      </c>
      <c r="AQ43" s="25">
        <v>2011920</v>
      </c>
      <c r="AR43" s="25">
        <v>2011920</v>
      </c>
      <c r="AS43" s="25">
        <v>2011920</v>
      </c>
      <c r="AT43" s="25">
        <v>2011920</v>
      </c>
      <c r="AU43" s="25">
        <v>167660</v>
      </c>
      <c r="AV43" s="26" t="e">
        <f>N43+O43+P43+Q43+R43+S43+T43+#REF!+AG43+AH43+AI43+AJ43+AK43+AL43+AM43+AN43+AO43+AP43+AQ43+AR43+AS43+AT43+AU43</f>
        <v>#REF!</v>
      </c>
    </row>
    <row r="44" spans="1:49" s="22" customFormat="1" ht="30" x14ac:dyDescent="0.25">
      <c r="B44" s="23">
        <v>39</v>
      </c>
      <c r="C44" s="27" t="s">
        <v>81</v>
      </c>
      <c r="D44" s="24" t="s">
        <v>82</v>
      </c>
      <c r="E44" s="27" t="s">
        <v>83</v>
      </c>
      <c r="F44" s="41">
        <v>13595209</v>
      </c>
      <c r="G44" s="52">
        <v>2025</v>
      </c>
      <c r="H44" s="27">
        <v>15</v>
      </c>
      <c r="I44" s="42">
        <v>12374122.24</v>
      </c>
      <c r="J44" s="43">
        <v>25099000</v>
      </c>
      <c r="K44" s="43">
        <v>5019800</v>
      </c>
      <c r="L44" s="43">
        <v>111560</v>
      </c>
      <c r="M44" s="44">
        <v>51331</v>
      </c>
      <c r="N44" s="44"/>
      <c r="O44" s="45"/>
      <c r="P44" s="45"/>
      <c r="Q44" s="45"/>
      <c r="R44" s="45"/>
      <c r="S44" s="45"/>
      <c r="T44" s="25">
        <v>5577600</v>
      </c>
      <c r="U44" s="25">
        <f>L44</f>
        <v>111560</v>
      </c>
      <c r="V44" s="25">
        <f>L44</f>
        <v>111560</v>
      </c>
      <c r="W44" s="25">
        <f>L44</f>
        <v>111560</v>
      </c>
      <c r="X44" s="25">
        <v>111560</v>
      </c>
      <c r="Y44" s="25">
        <v>111560</v>
      </c>
      <c r="Z44" s="25">
        <f>$L$44</f>
        <v>111560</v>
      </c>
      <c r="AA44" s="25"/>
      <c r="AB44" s="25">
        <f>$L$44</f>
        <v>111560</v>
      </c>
      <c r="AC44" s="25">
        <f>$L$44</f>
        <v>111560</v>
      </c>
      <c r="AD44" s="25">
        <f>$L$44</f>
        <v>111560</v>
      </c>
      <c r="AE44" s="25">
        <f>$L$44</f>
        <v>111560</v>
      </c>
      <c r="AF44" s="25">
        <f>$L$44</f>
        <v>111560</v>
      </c>
      <c r="AG44" s="25">
        <v>1338720</v>
      </c>
      <c r="AH44" s="25">
        <v>1338720</v>
      </c>
      <c r="AI44" s="25">
        <v>1338720</v>
      </c>
      <c r="AJ44" s="25">
        <v>1338720</v>
      </c>
      <c r="AK44" s="25">
        <v>1338720</v>
      </c>
      <c r="AL44" s="25">
        <v>1338720</v>
      </c>
      <c r="AM44" s="25">
        <v>1338720</v>
      </c>
      <c r="AN44" s="25">
        <v>1338720</v>
      </c>
      <c r="AO44" s="25">
        <v>1338720</v>
      </c>
      <c r="AP44" s="25">
        <v>1338720</v>
      </c>
      <c r="AQ44" s="25">
        <v>1338720</v>
      </c>
      <c r="AR44" s="25">
        <v>1338720</v>
      </c>
      <c r="AS44" s="25">
        <v>1338720</v>
      </c>
      <c r="AT44" s="25">
        <v>779320</v>
      </c>
      <c r="AU44" s="25"/>
      <c r="AV44" s="26" t="e">
        <f>N44+O44+P44+Q44+R44+S44+T44+#REF!+AG44+AH44+AI44+AJ44+AK44+AL44+AM44+AN44+AO44+AP44+AQ44+AR44+AS44+AT44</f>
        <v>#REF!</v>
      </c>
      <c r="AW44" s="22" t="e">
        <f t="shared" ref="AW44:AW56" si="4">J44=AV44</f>
        <v>#REF!</v>
      </c>
    </row>
    <row r="45" spans="1:49" s="22" customFormat="1" ht="30" x14ac:dyDescent="0.25">
      <c r="B45" s="23">
        <v>40</v>
      </c>
      <c r="C45" s="27" t="s">
        <v>84</v>
      </c>
      <c r="D45" s="86" t="s">
        <v>243</v>
      </c>
      <c r="E45" s="27" t="s">
        <v>85</v>
      </c>
      <c r="F45" s="41">
        <v>17487310</v>
      </c>
      <c r="G45" s="52">
        <v>2025</v>
      </c>
      <c r="H45" s="27">
        <v>15</v>
      </c>
      <c r="I45" s="42">
        <v>14544996.359999999</v>
      </c>
      <c r="J45" s="43">
        <v>24131625</v>
      </c>
      <c r="K45" s="43">
        <v>4826325</v>
      </c>
      <c r="L45" s="43">
        <v>107260</v>
      </c>
      <c r="M45" s="44">
        <v>51209</v>
      </c>
      <c r="N45" s="44"/>
      <c r="O45" s="45"/>
      <c r="P45" s="45"/>
      <c r="Q45" s="45"/>
      <c r="R45" s="45"/>
      <c r="S45" s="45"/>
      <c r="T45" s="25">
        <v>5795365</v>
      </c>
      <c r="U45" s="25">
        <v>108000</v>
      </c>
      <c r="V45" s="25">
        <v>108000</v>
      </c>
      <c r="W45" s="25">
        <v>108000</v>
      </c>
      <c r="X45" s="25">
        <v>108000</v>
      </c>
      <c r="Y45" s="25">
        <v>108000</v>
      </c>
      <c r="Z45" s="25">
        <v>108000</v>
      </c>
      <c r="AA45" s="88">
        <v>108000</v>
      </c>
      <c r="AB45" s="25">
        <f>$L$45</f>
        <v>107260</v>
      </c>
      <c r="AC45" s="25">
        <f>$L$45</f>
        <v>107260</v>
      </c>
      <c r="AD45" s="25">
        <f>$L$45</f>
        <v>107260</v>
      </c>
      <c r="AE45" s="25">
        <f>$L$45</f>
        <v>107260</v>
      </c>
      <c r="AF45" s="25">
        <f>$L$45</f>
        <v>107260</v>
      </c>
      <c r="AG45" s="25">
        <v>1287120</v>
      </c>
      <c r="AH45" s="25">
        <v>1287120</v>
      </c>
      <c r="AI45" s="25">
        <v>1287120</v>
      </c>
      <c r="AJ45" s="25">
        <v>1287120</v>
      </c>
      <c r="AK45" s="25">
        <v>1287120</v>
      </c>
      <c r="AL45" s="25">
        <v>1287120</v>
      </c>
      <c r="AM45" s="25">
        <v>1287120</v>
      </c>
      <c r="AN45" s="25">
        <v>1287120</v>
      </c>
      <c r="AO45" s="25">
        <v>1287120</v>
      </c>
      <c r="AP45" s="25">
        <v>1287120</v>
      </c>
      <c r="AQ45" s="25">
        <v>1287120</v>
      </c>
      <c r="AR45" s="25">
        <v>1287120</v>
      </c>
      <c r="AS45" s="25">
        <v>1287120</v>
      </c>
      <c r="AT45" s="25">
        <v>317320</v>
      </c>
      <c r="AU45" s="25"/>
      <c r="AV45" s="26" t="e">
        <f>N45+O45+P45+Q45+R45+S45+T45+#REF!+AG45+AH45+AI45+AJ45+AK45+AL45+AM45+AN45+AO45+AP45+AQ45+AR45+AS45+AT45</f>
        <v>#REF!</v>
      </c>
      <c r="AW45" s="22" t="e">
        <f t="shared" si="4"/>
        <v>#REF!</v>
      </c>
    </row>
    <row r="46" spans="1:49" s="22" customFormat="1" ht="30" x14ac:dyDescent="0.25">
      <c r="B46" s="23">
        <v>41</v>
      </c>
      <c r="C46" s="36" t="s">
        <v>86</v>
      </c>
      <c r="D46" s="24" t="s">
        <v>87</v>
      </c>
      <c r="E46" s="27" t="s">
        <v>88</v>
      </c>
      <c r="F46" s="41">
        <v>20873000</v>
      </c>
      <c r="G46" s="52">
        <v>2022</v>
      </c>
      <c r="H46" s="27">
        <v>15</v>
      </c>
      <c r="I46" s="42">
        <v>20699058.300000001</v>
      </c>
      <c r="J46" s="43">
        <v>21017000</v>
      </c>
      <c r="K46" s="43">
        <v>4203400</v>
      </c>
      <c r="L46" s="43">
        <v>93410</v>
      </c>
      <c r="M46" s="44">
        <v>50135</v>
      </c>
      <c r="N46" s="44"/>
      <c r="O46" s="45"/>
      <c r="P46" s="45"/>
      <c r="Q46" s="45">
        <v>5051810</v>
      </c>
      <c r="R46" s="45">
        <v>1128000</v>
      </c>
      <c r="S46" s="45">
        <v>1128000</v>
      </c>
      <c r="T46" s="25">
        <v>1222000</v>
      </c>
      <c r="U46" s="25"/>
      <c r="V46" s="25">
        <v>94000</v>
      </c>
      <c r="W46" s="25">
        <v>94000</v>
      </c>
      <c r="X46" s="25">
        <v>94000</v>
      </c>
      <c r="Y46" s="25">
        <v>94000</v>
      </c>
      <c r="Z46" s="25">
        <v>94000</v>
      </c>
      <c r="AA46" s="88">
        <v>94000</v>
      </c>
      <c r="AB46" s="25">
        <f>$L$46</f>
        <v>93410</v>
      </c>
      <c r="AC46" s="25">
        <f>$L$46</f>
        <v>93410</v>
      </c>
      <c r="AD46" s="25">
        <f>$L$46</f>
        <v>93410</v>
      </c>
      <c r="AE46" s="25">
        <f>$L$46</f>
        <v>93410</v>
      </c>
      <c r="AF46" s="25">
        <f>$L$46</f>
        <v>93410</v>
      </c>
      <c r="AG46" s="25">
        <v>1120920</v>
      </c>
      <c r="AH46" s="25">
        <v>1120920</v>
      </c>
      <c r="AI46" s="25">
        <v>1120920</v>
      </c>
      <c r="AJ46" s="25">
        <v>1120920</v>
      </c>
      <c r="AK46" s="25">
        <v>1120920</v>
      </c>
      <c r="AL46" s="25">
        <v>1120920</v>
      </c>
      <c r="AM46" s="25">
        <v>1120920</v>
      </c>
      <c r="AN46" s="25">
        <v>1120920</v>
      </c>
      <c r="AO46" s="25">
        <v>1120920</v>
      </c>
      <c r="AP46" s="25">
        <v>1120920</v>
      </c>
      <c r="AQ46" s="25">
        <v>251660</v>
      </c>
      <c r="AR46" s="25">
        <v>0</v>
      </c>
      <c r="AS46" s="25">
        <v>0</v>
      </c>
      <c r="AT46" s="25">
        <v>0</v>
      </c>
      <c r="AU46" s="25"/>
      <c r="AV46" s="26" t="e">
        <f>N46+O46+P46+Q46+R46+S46+T46+#REF!+AG46+AH46+AI46+AJ46+AK46+AL46+AM46+AN46+AO46+AP46+AQ46+AR46+AS46+AT46</f>
        <v>#REF!</v>
      </c>
      <c r="AW46" s="22" t="e">
        <f t="shared" si="4"/>
        <v>#REF!</v>
      </c>
    </row>
    <row r="47" spans="1:49" s="22" customFormat="1" ht="30" x14ac:dyDescent="0.25">
      <c r="B47" s="23">
        <v>42</v>
      </c>
      <c r="C47" s="27" t="s">
        <v>89</v>
      </c>
      <c r="D47" s="24" t="s">
        <v>90</v>
      </c>
      <c r="E47" s="27" t="s">
        <v>91</v>
      </c>
      <c r="F47" s="41">
        <v>19204255</v>
      </c>
      <c r="G47" s="52">
        <v>2022</v>
      </c>
      <c r="H47" s="27">
        <v>15</v>
      </c>
      <c r="I47" s="42">
        <v>17993353.879999999</v>
      </c>
      <c r="J47" s="43">
        <v>28166000</v>
      </c>
      <c r="K47" s="43">
        <v>5633200</v>
      </c>
      <c r="L47" s="43">
        <v>125790</v>
      </c>
      <c r="M47" s="44">
        <v>50304</v>
      </c>
      <c r="N47" s="44"/>
      <c r="O47" s="45"/>
      <c r="P47" s="45"/>
      <c r="Q47" s="45">
        <v>6018200</v>
      </c>
      <c r="R47" s="45">
        <v>1559000</v>
      </c>
      <c r="S47" s="45">
        <v>1435000</v>
      </c>
      <c r="T47" s="25">
        <v>1690000</v>
      </c>
      <c r="U47" s="25">
        <v>130000</v>
      </c>
      <c r="V47" s="25">
        <v>130000</v>
      </c>
      <c r="W47" s="25">
        <v>130000</v>
      </c>
      <c r="X47" s="25">
        <v>130000</v>
      </c>
      <c r="Y47" s="25">
        <v>130000</v>
      </c>
      <c r="Z47" s="83"/>
      <c r="AA47" s="25"/>
      <c r="AB47" s="25">
        <f>$L$47</f>
        <v>125790</v>
      </c>
      <c r="AC47" s="25">
        <f>$L$47</f>
        <v>125790</v>
      </c>
      <c r="AD47" s="25">
        <f>$L$47</f>
        <v>125790</v>
      </c>
      <c r="AE47" s="25">
        <f>$L$47</f>
        <v>125790</v>
      </c>
      <c r="AF47" s="25">
        <f>$L$47</f>
        <v>125790</v>
      </c>
      <c r="AG47" s="25">
        <v>1509480</v>
      </c>
      <c r="AH47" s="25">
        <v>1509480</v>
      </c>
      <c r="AI47" s="25">
        <v>1509480</v>
      </c>
      <c r="AJ47" s="25">
        <v>1509480</v>
      </c>
      <c r="AK47" s="25">
        <v>1509480</v>
      </c>
      <c r="AL47" s="25">
        <v>1509480</v>
      </c>
      <c r="AM47" s="25">
        <v>1509480</v>
      </c>
      <c r="AN47" s="25">
        <v>1509480</v>
      </c>
      <c r="AO47" s="25">
        <v>1509480</v>
      </c>
      <c r="AP47" s="25">
        <v>1509480</v>
      </c>
      <c r="AQ47" s="25">
        <v>863730</v>
      </c>
      <c r="AR47" s="25">
        <v>0</v>
      </c>
      <c r="AS47" s="25">
        <v>0</v>
      </c>
      <c r="AT47" s="25">
        <v>0</v>
      </c>
      <c r="AU47" s="25"/>
      <c r="AV47" s="26" t="e">
        <f>N47+O47+P47+Q47+R47+S47+T47+#REF!+AG47+AH47+AI47+AJ47+AK47+AL47+AM47+AN47+AO47+AP47+AQ47+AR47+AS47+AT47</f>
        <v>#REF!</v>
      </c>
      <c r="AW47" s="22" t="e">
        <f t="shared" si="4"/>
        <v>#REF!</v>
      </c>
    </row>
    <row r="48" spans="1:49" s="22" customFormat="1" ht="30" x14ac:dyDescent="0.25">
      <c r="B48" s="23">
        <v>43</v>
      </c>
      <c r="C48" s="27" t="s">
        <v>92</v>
      </c>
      <c r="D48" s="24" t="s">
        <v>93</v>
      </c>
      <c r="E48" s="27" t="s">
        <v>94</v>
      </c>
      <c r="F48" s="41">
        <v>18325360</v>
      </c>
      <c r="G48" s="52">
        <v>2024</v>
      </c>
      <c r="H48" s="27">
        <v>15</v>
      </c>
      <c r="I48" s="42">
        <v>15484252.470000001</v>
      </c>
      <c r="J48" s="43">
        <v>26527000</v>
      </c>
      <c r="K48" s="43">
        <v>5305400</v>
      </c>
      <c r="L48" s="43">
        <v>117900</v>
      </c>
      <c r="M48" s="44">
        <v>50794</v>
      </c>
      <c r="N48" s="44"/>
      <c r="O48" s="45"/>
      <c r="P48" s="45"/>
      <c r="Q48" s="45"/>
      <c r="R48" s="45"/>
      <c r="S48" s="45">
        <v>6602300</v>
      </c>
      <c r="T48" s="25">
        <v>1532700</v>
      </c>
      <c r="U48" s="25"/>
      <c r="V48" s="25">
        <f>L48</f>
        <v>117900</v>
      </c>
      <c r="W48" s="25">
        <f>L48</f>
        <v>117900</v>
      </c>
      <c r="X48" s="25">
        <v>117900</v>
      </c>
      <c r="Y48" s="25">
        <f>117900+117900</f>
        <v>235800</v>
      </c>
      <c r="Z48" s="83"/>
      <c r="AA48" s="25"/>
      <c r="AB48" s="25">
        <f>$L$48</f>
        <v>117900</v>
      </c>
      <c r="AC48" s="25">
        <f>$L$48</f>
        <v>117900</v>
      </c>
      <c r="AD48" s="25">
        <f>$L$48</f>
        <v>117900</v>
      </c>
      <c r="AE48" s="25">
        <f>$L$48</f>
        <v>117900</v>
      </c>
      <c r="AF48" s="25">
        <f>$L$48</f>
        <v>117900</v>
      </c>
      <c r="AG48" s="25">
        <v>1414800</v>
      </c>
      <c r="AH48" s="25">
        <v>1414800</v>
      </c>
      <c r="AI48" s="25">
        <v>1414800</v>
      </c>
      <c r="AJ48" s="25">
        <v>1414800</v>
      </c>
      <c r="AK48" s="25">
        <v>1414800</v>
      </c>
      <c r="AL48" s="25">
        <v>1414800</v>
      </c>
      <c r="AM48" s="25">
        <v>1414800</v>
      </c>
      <c r="AN48" s="25">
        <v>1414800</v>
      </c>
      <c r="AO48" s="25">
        <v>1414800</v>
      </c>
      <c r="AP48" s="25">
        <v>1414800</v>
      </c>
      <c r="AQ48" s="25">
        <v>1414800</v>
      </c>
      <c r="AR48" s="25">
        <v>1414800</v>
      </c>
      <c r="AS48" s="25">
        <v>117500</v>
      </c>
      <c r="AT48" s="25">
        <v>0</v>
      </c>
      <c r="AU48" s="25"/>
      <c r="AV48" s="26" t="e">
        <f>N48+O48+P48+Q48+R48+S48+T48+#REF!+AG48+AH48+AI48+AJ48+AK48+AL48+AM48+AN48+AO48+AP48+AQ48+AR48+AS48+AT48</f>
        <v>#REF!</v>
      </c>
      <c r="AW48" s="22" t="e">
        <f t="shared" si="4"/>
        <v>#REF!</v>
      </c>
    </row>
    <row r="49" spans="1:49" s="22" customFormat="1" ht="30" x14ac:dyDescent="0.25">
      <c r="B49" s="23">
        <v>44</v>
      </c>
      <c r="C49" s="27" t="s">
        <v>95</v>
      </c>
      <c r="D49" s="24" t="s">
        <v>96</v>
      </c>
      <c r="E49" s="27" t="s">
        <v>97</v>
      </c>
      <c r="F49" s="41">
        <v>13336131</v>
      </c>
      <c r="G49" s="52">
        <v>2022</v>
      </c>
      <c r="H49" s="27">
        <v>15</v>
      </c>
      <c r="I49" s="42">
        <v>12552258.720000001</v>
      </c>
      <c r="J49" s="43">
        <v>22531000</v>
      </c>
      <c r="K49" s="43">
        <v>4506200</v>
      </c>
      <c r="L49" s="43">
        <v>100140</v>
      </c>
      <c r="M49" s="44">
        <v>50303</v>
      </c>
      <c r="N49" s="44"/>
      <c r="O49" s="45"/>
      <c r="P49" s="45"/>
      <c r="Q49" s="45">
        <v>4809340</v>
      </c>
      <c r="R49" s="45">
        <v>1101950</v>
      </c>
      <c r="S49" s="45">
        <v>798980</v>
      </c>
      <c r="T49" s="25">
        <v>1701808</v>
      </c>
      <c r="U49" s="25">
        <f>L49</f>
        <v>100140</v>
      </c>
      <c r="V49" s="25">
        <f>L49</f>
        <v>100140</v>
      </c>
      <c r="W49" s="25">
        <f>L49</f>
        <v>100140</v>
      </c>
      <c r="X49" s="25">
        <v>100140</v>
      </c>
      <c r="Y49" s="25">
        <v>100140</v>
      </c>
      <c r="Z49" s="25">
        <f>$L$49</f>
        <v>100140</v>
      </c>
      <c r="AA49" s="25"/>
      <c r="AB49" s="25">
        <f>$L$49</f>
        <v>100140</v>
      </c>
      <c r="AC49" s="25">
        <f>$L$49</f>
        <v>100140</v>
      </c>
      <c r="AD49" s="25">
        <f>$L$49</f>
        <v>100140</v>
      </c>
      <c r="AE49" s="25">
        <f>$L$49</f>
        <v>100140</v>
      </c>
      <c r="AF49" s="25">
        <f>$L$49</f>
        <v>100140</v>
      </c>
      <c r="AG49" s="25">
        <v>1201680</v>
      </c>
      <c r="AH49" s="25">
        <v>1201680</v>
      </c>
      <c r="AI49" s="25">
        <v>1201680</v>
      </c>
      <c r="AJ49" s="25">
        <v>1201680</v>
      </c>
      <c r="AK49" s="25">
        <v>1201680</v>
      </c>
      <c r="AL49" s="25">
        <v>1201680</v>
      </c>
      <c r="AM49" s="25">
        <v>1201680</v>
      </c>
      <c r="AN49" s="25">
        <v>1201680</v>
      </c>
      <c r="AO49" s="25">
        <v>1201680</v>
      </c>
      <c r="AP49" s="25">
        <v>1201680</v>
      </c>
      <c r="AQ49" s="25">
        <v>900802</v>
      </c>
      <c r="AR49" s="25">
        <v>0</v>
      </c>
      <c r="AS49" s="25">
        <v>0</v>
      </c>
      <c r="AT49" s="25">
        <v>0</v>
      </c>
      <c r="AU49" s="25"/>
      <c r="AV49" s="26" t="e">
        <f>N49+O49+P49+Q49+R49+S49+T49+#REF!+AG49+AH49+AI49+AJ49+AK49+AL49+AM49+AN49+AO49+AP49+AQ49+AR49+AS49+AT49</f>
        <v>#REF!</v>
      </c>
      <c r="AW49" s="22" t="e">
        <f t="shared" si="4"/>
        <v>#REF!</v>
      </c>
    </row>
    <row r="50" spans="1:49" s="22" customFormat="1" ht="30" x14ac:dyDescent="0.25">
      <c r="B50" s="23">
        <v>45</v>
      </c>
      <c r="C50" s="27" t="s">
        <v>98</v>
      </c>
      <c r="D50" s="87" t="s">
        <v>99</v>
      </c>
      <c r="E50" s="27" t="s">
        <v>100</v>
      </c>
      <c r="F50" s="41">
        <v>19269951</v>
      </c>
      <c r="G50" s="52">
        <v>2024</v>
      </c>
      <c r="H50" s="27">
        <v>15</v>
      </c>
      <c r="I50" s="42">
        <v>17658531.84</v>
      </c>
      <c r="J50" s="43">
        <v>31205000</v>
      </c>
      <c r="K50" s="43">
        <v>6241000</v>
      </c>
      <c r="L50" s="43">
        <v>138690</v>
      </c>
      <c r="M50" s="44">
        <v>50920</v>
      </c>
      <c r="N50" s="44"/>
      <c r="O50" s="45"/>
      <c r="P50" s="45"/>
      <c r="Q50" s="45"/>
      <c r="R50" s="45"/>
      <c r="S50" s="45">
        <v>6949550</v>
      </c>
      <c r="T50" s="25">
        <v>107000</v>
      </c>
      <c r="U50" s="25"/>
      <c r="V50" s="25"/>
      <c r="W50" s="25"/>
      <c r="X50" s="25">
        <v>800000</v>
      </c>
      <c r="Y50" s="25"/>
      <c r="Z50" s="25">
        <v>1713010</v>
      </c>
      <c r="AA50" s="25"/>
      <c r="AB50" s="25">
        <f>$L$50</f>
        <v>138690</v>
      </c>
      <c r="AC50" s="25">
        <f>$L$50</f>
        <v>138690</v>
      </c>
      <c r="AD50" s="25">
        <f>$L$50</f>
        <v>138690</v>
      </c>
      <c r="AE50" s="25">
        <f>$L$50</f>
        <v>138690</v>
      </c>
      <c r="AF50" s="25">
        <f>$L$50</f>
        <v>138690</v>
      </c>
      <c r="AG50" s="25">
        <v>1799040</v>
      </c>
      <c r="AH50" s="25">
        <v>1799040</v>
      </c>
      <c r="AI50" s="25">
        <v>1799040</v>
      </c>
      <c r="AJ50" s="25">
        <v>1799040</v>
      </c>
      <c r="AK50" s="25">
        <v>1799040</v>
      </c>
      <c r="AL50" s="25">
        <v>1799040</v>
      </c>
      <c r="AM50" s="25">
        <v>1799040</v>
      </c>
      <c r="AN50" s="25">
        <v>1799040</v>
      </c>
      <c r="AO50" s="25">
        <v>1799040</v>
      </c>
      <c r="AP50" s="25">
        <v>1799040</v>
      </c>
      <c r="AQ50" s="25">
        <v>1799040</v>
      </c>
      <c r="AR50" s="25">
        <v>1799040</v>
      </c>
      <c r="AS50" s="25">
        <v>611010</v>
      </c>
      <c r="AT50" s="25">
        <v>0</v>
      </c>
      <c r="AU50" s="25"/>
      <c r="AV50" s="26" t="e">
        <f>N50+O50+P50+Q50+R50+S50+T50+#REF!+AG50+AH50+AI50+AJ50+AK50+AL50+AM50+AN50+AO50+AP50+AQ50+AR50+AS50+AT50</f>
        <v>#REF!</v>
      </c>
      <c r="AW50" s="22" t="e">
        <f t="shared" si="4"/>
        <v>#REF!</v>
      </c>
    </row>
    <row r="51" spans="1:49" s="22" customFormat="1" ht="30" x14ac:dyDescent="0.25">
      <c r="B51" s="23">
        <v>46</v>
      </c>
      <c r="C51" s="24" t="s">
        <v>101</v>
      </c>
      <c r="D51" s="24" t="s">
        <v>102</v>
      </c>
      <c r="E51" s="27" t="s">
        <v>103</v>
      </c>
      <c r="F51" s="41">
        <v>23616400</v>
      </c>
      <c r="G51" s="52">
        <v>2025</v>
      </c>
      <c r="H51" s="27">
        <v>15</v>
      </c>
      <c r="I51" s="42">
        <v>19642841.100000001</v>
      </c>
      <c r="J51" s="43">
        <v>30426202</v>
      </c>
      <c r="K51" s="43">
        <v>6085240.4000000004</v>
      </c>
      <c r="L51" s="43">
        <v>135230</v>
      </c>
      <c r="M51" s="44">
        <v>51226</v>
      </c>
      <c r="N51" s="44"/>
      <c r="O51" s="45"/>
      <c r="P51" s="45"/>
      <c r="Q51" s="45"/>
      <c r="R51" s="45"/>
      <c r="S51" s="45"/>
      <c r="T51" s="25">
        <v>7302310.4000000004</v>
      </c>
      <c r="U51" s="25">
        <f>L51</f>
        <v>135230</v>
      </c>
      <c r="V51" s="25">
        <f>L51</f>
        <v>135230</v>
      </c>
      <c r="W51" s="25">
        <f>L51</f>
        <v>135230</v>
      </c>
      <c r="X51" s="25">
        <v>135230</v>
      </c>
      <c r="Y51" s="25">
        <v>135230</v>
      </c>
      <c r="Z51" s="25">
        <f>$L$51</f>
        <v>135230</v>
      </c>
      <c r="AA51" s="25"/>
      <c r="AB51" s="25">
        <f>$L$51</f>
        <v>135230</v>
      </c>
      <c r="AC51" s="25">
        <f>$L$51</f>
        <v>135230</v>
      </c>
      <c r="AD51" s="25">
        <f>$L$51</f>
        <v>135230</v>
      </c>
      <c r="AE51" s="25">
        <f>$L$51</f>
        <v>135230</v>
      </c>
      <c r="AF51" s="25">
        <f>$L$51</f>
        <v>135230</v>
      </c>
      <c r="AG51" s="25">
        <v>1622760</v>
      </c>
      <c r="AH51" s="25">
        <v>1622760</v>
      </c>
      <c r="AI51" s="25">
        <v>1622760</v>
      </c>
      <c r="AJ51" s="25">
        <v>1622760</v>
      </c>
      <c r="AK51" s="25">
        <v>1622760</v>
      </c>
      <c r="AL51" s="25">
        <v>1622760</v>
      </c>
      <c r="AM51" s="25">
        <v>1622760</v>
      </c>
      <c r="AN51" s="25">
        <v>1622760</v>
      </c>
      <c r="AO51" s="25">
        <v>1622760</v>
      </c>
      <c r="AP51" s="25">
        <v>1622760</v>
      </c>
      <c r="AQ51" s="25">
        <v>1622760</v>
      </c>
      <c r="AR51" s="25">
        <v>1622760</v>
      </c>
      <c r="AS51" s="25">
        <v>1622760</v>
      </c>
      <c r="AT51" s="25">
        <v>405251.6</v>
      </c>
      <c r="AU51" s="25"/>
      <c r="AV51" s="26" t="e">
        <f>N51+O51+P51+Q51+R51+S51+T51+#REF!+AG51+AH51+AI51+AJ51+AK51+AL51+AM51+AN51+AO51+AP51+AQ51+AR51+AS51+AT51</f>
        <v>#REF!</v>
      </c>
      <c r="AW51" s="22" t="e">
        <f t="shared" si="4"/>
        <v>#REF!</v>
      </c>
    </row>
    <row r="52" spans="1:49" s="22" customFormat="1" ht="30" x14ac:dyDescent="0.25">
      <c r="B52" s="23">
        <v>47</v>
      </c>
      <c r="C52" s="24" t="s">
        <v>104</v>
      </c>
      <c r="D52" s="24" t="s">
        <v>105</v>
      </c>
      <c r="E52" s="27" t="s">
        <v>106</v>
      </c>
      <c r="F52" s="41">
        <v>14100623</v>
      </c>
      <c r="G52" s="52">
        <v>2021</v>
      </c>
      <c r="H52" s="27">
        <v>15</v>
      </c>
      <c r="I52" s="42">
        <v>13400542.880000001</v>
      </c>
      <c r="J52" s="43">
        <v>16515000</v>
      </c>
      <c r="K52" s="43">
        <v>3303000</v>
      </c>
      <c r="L52" s="43">
        <v>73400</v>
      </c>
      <c r="M52" s="44">
        <v>50036</v>
      </c>
      <c r="N52" s="44"/>
      <c r="O52" s="45"/>
      <c r="P52" s="45">
        <v>3303000</v>
      </c>
      <c r="Q52" s="45">
        <v>884000</v>
      </c>
      <c r="R52" s="45">
        <v>882000</v>
      </c>
      <c r="S52" s="45">
        <v>882000</v>
      </c>
      <c r="T52" s="25">
        <v>882000</v>
      </c>
      <c r="U52" s="25">
        <v>73500</v>
      </c>
      <c r="V52" s="25">
        <v>73500</v>
      </c>
      <c r="W52" s="25">
        <v>73500</v>
      </c>
      <c r="X52" s="25">
        <v>73500</v>
      </c>
      <c r="Y52" s="25">
        <v>73500</v>
      </c>
      <c r="Z52" s="25">
        <v>73500</v>
      </c>
      <c r="AA52" s="25"/>
      <c r="AB52" s="25">
        <f>$L$52</f>
        <v>73400</v>
      </c>
      <c r="AC52" s="25">
        <f>$L$52</f>
        <v>73400</v>
      </c>
      <c r="AD52" s="25">
        <f>$L$52</f>
        <v>73400</v>
      </c>
      <c r="AE52" s="25">
        <f>$L$52</f>
        <v>73400</v>
      </c>
      <c r="AF52" s="25">
        <f>$L$52</f>
        <v>73400</v>
      </c>
      <c r="AG52" s="25">
        <v>880800</v>
      </c>
      <c r="AH52" s="25">
        <v>880800</v>
      </c>
      <c r="AI52" s="25">
        <v>880800</v>
      </c>
      <c r="AJ52" s="25">
        <v>880800</v>
      </c>
      <c r="AK52" s="25">
        <v>880800</v>
      </c>
      <c r="AL52" s="25">
        <v>880800</v>
      </c>
      <c r="AM52" s="25">
        <v>880800</v>
      </c>
      <c r="AN52" s="25">
        <v>880800</v>
      </c>
      <c r="AO52" s="25">
        <v>880800</v>
      </c>
      <c r="AP52" s="25">
        <v>874100</v>
      </c>
      <c r="AQ52" s="25">
        <v>0</v>
      </c>
      <c r="AR52" s="25">
        <v>0</v>
      </c>
      <c r="AS52" s="25">
        <v>0</v>
      </c>
      <c r="AT52" s="25">
        <v>0</v>
      </c>
      <c r="AU52" s="25"/>
      <c r="AV52" s="26" t="e">
        <f>N52+O52+P52+Q52+R52+S52+T52+#REF!+AG52+AH52+AI52+AJ52+AK52+AL52+AM52+AN52+AO52+AP52+AQ52+AR52+AS52+AT52</f>
        <v>#REF!</v>
      </c>
      <c r="AW52" s="22" t="e">
        <f t="shared" si="4"/>
        <v>#REF!</v>
      </c>
    </row>
    <row r="53" spans="1:49" s="22" customFormat="1" ht="30" x14ac:dyDescent="0.25">
      <c r="B53" s="23">
        <v>48</v>
      </c>
      <c r="C53" s="27" t="s">
        <v>107</v>
      </c>
      <c r="D53" s="24" t="s">
        <v>108</v>
      </c>
      <c r="E53" s="27" t="s">
        <v>109</v>
      </c>
      <c r="F53" s="41">
        <v>13314895</v>
      </c>
      <c r="G53" s="52">
        <v>2022</v>
      </c>
      <c r="H53" s="27">
        <v>15</v>
      </c>
      <c r="I53" s="42">
        <v>12605203.699999999</v>
      </c>
      <c r="J53" s="43">
        <v>17171000</v>
      </c>
      <c r="K53" s="43">
        <v>3434200</v>
      </c>
      <c r="L53" s="43">
        <v>76320</v>
      </c>
      <c r="M53" s="44">
        <v>50117</v>
      </c>
      <c r="N53" s="44"/>
      <c r="O53" s="45"/>
      <c r="P53" s="45"/>
      <c r="Q53" s="45">
        <v>4121080</v>
      </c>
      <c r="R53" s="45">
        <v>915840</v>
      </c>
      <c r="S53" s="45">
        <v>915840</v>
      </c>
      <c r="T53" s="25">
        <v>915840</v>
      </c>
      <c r="U53" s="25">
        <f>L53</f>
        <v>76320</v>
      </c>
      <c r="V53" s="25">
        <f>L53</f>
        <v>76320</v>
      </c>
      <c r="W53" s="25">
        <f>L53</f>
        <v>76320</v>
      </c>
      <c r="X53" s="25">
        <v>76320</v>
      </c>
      <c r="Y53" s="25">
        <v>76320</v>
      </c>
      <c r="Z53" s="25">
        <f>$L$53</f>
        <v>76320</v>
      </c>
      <c r="AA53" s="25"/>
      <c r="AB53" s="25">
        <f>$L$53</f>
        <v>76320</v>
      </c>
      <c r="AC53" s="25">
        <f>$L$53</f>
        <v>76320</v>
      </c>
      <c r="AD53" s="25">
        <f>$L$53</f>
        <v>76320</v>
      </c>
      <c r="AE53" s="25">
        <f>$L$53</f>
        <v>76320</v>
      </c>
      <c r="AF53" s="25">
        <f>$L$53</f>
        <v>76320</v>
      </c>
      <c r="AG53" s="25">
        <v>915840</v>
      </c>
      <c r="AH53" s="25">
        <v>915840</v>
      </c>
      <c r="AI53" s="25">
        <v>915840</v>
      </c>
      <c r="AJ53" s="25">
        <v>915840</v>
      </c>
      <c r="AK53" s="25">
        <v>915840</v>
      </c>
      <c r="AL53" s="25">
        <v>915840</v>
      </c>
      <c r="AM53" s="25">
        <v>915840</v>
      </c>
      <c r="AN53" s="25">
        <v>915840</v>
      </c>
      <c r="AO53" s="25">
        <v>915840</v>
      </c>
      <c r="AP53" s="25">
        <v>915840</v>
      </c>
      <c r="AQ53" s="25">
        <v>228960</v>
      </c>
      <c r="AR53" s="25">
        <v>0</v>
      </c>
      <c r="AS53" s="25">
        <v>0</v>
      </c>
      <c r="AT53" s="25">
        <v>0</v>
      </c>
      <c r="AU53" s="25"/>
      <c r="AV53" s="26" t="e">
        <f>N53+O53+P53+Q53+R53+S53+T53+#REF!+AG53+AH53+AI53+AJ53+AK53+AL53+AM53+AN53+AO53+AP53+AQ53+AR53+AS53+AT53</f>
        <v>#REF!</v>
      </c>
      <c r="AW53" s="22" t="e">
        <f t="shared" si="4"/>
        <v>#REF!</v>
      </c>
    </row>
    <row r="54" spans="1:49" s="22" customFormat="1" ht="30" x14ac:dyDescent="0.25">
      <c r="B54" s="23">
        <v>49</v>
      </c>
      <c r="C54" s="24" t="s">
        <v>110</v>
      </c>
      <c r="D54" s="24" t="s">
        <v>111</v>
      </c>
      <c r="E54" s="27" t="s">
        <v>112</v>
      </c>
      <c r="F54" s="41">
        <v>18907447</v>
      </c>
      <c r="G54" s="52">
        <v>2021</v>
      </c>
      <c r="H54" s="27">
        <v>15</v>
      </c>
      <c r="I54" s="42">
        <v>18065287.800000001</v>
      </c>
      <c r="J54" s="43">
        <v>19822000</v>
      </c>
      <c r="K54" s="43">
        <v>4000000</v>
      </c>
      <c r="L54" s="43">
        <v>87900</v>
      </c>
      <c r="M54" s="44">
        <v>49753</v>
      </c>
      <c r="N54" s="44"/>
      <c r="O54" s="45"/>
      <c r="P54" s="45">
        <v>4791600</v>
      </c>
      <c r="Q54" s="45">
        <v>1056000</v>
      </c>
      <c r="R54" s="45">
        <v>1056000</v>
      </c>
      <c r="S54" s="45">
        <v>1056000</v>
      </c>
      <c r="T54" s="25">
        <v>1802000</v>
      </c>
      <c r="U54" s="25"/>
      <c r="V54" s="25"/>
      <c r="W54" s="25"/>
      <c r="X54" s="25" t="s">
        <v>381</v>
      </c>
      <c r="Y54" s="25"/>
      <c r="Z54" s="25"/>
      <c r="AA54" s="25"/>
      <c r="AB54" s="25"/>
      <c r="AC54" s="25">
        <f>$L$54</f>
        <v>87900</v>
      </c>
      <c r="AD54" s="25">
        <f>$L$54</f>
        <v>87900</v>
      </c>
      <c r="AE54" s="25">
        <f>$L$54</f>
        <v>87900</v>
      </c>
      <c r="AF54" s="25">
        <f>$L$54</f>
        <v>87900</v>
      </c>
      <c r="AG54" s="25">
        <v>1054800</v>
      </c>
      <c r="AH54" s="25">
        <v>1054800</v>
      </c>
      <c r="AI54" s="25">
        <v>1054800</v>
      </c>
      <c r="AJ54" s="25">
        <v>1054800</v>
      </c>
      <c r="AK54" s="25">
        <v>1054800</v>
      </c>
      <c r="AL54" s="25">
        <v>1054800</v>
      </c>
      <c r="AM54" s="25">
        <v>1054800</v>
      </c>
      <c r="AN54" s="25">
        <v>1054800</v>
      </c>
      <c r="AO54" s="25">
        <v>1054800</v>
      </c>
      <c r="AP54" s="25">
        <v>215600</v>
      </c>
      <c r="AQ54" s="25">
        <v>0</v>
      </c>
      <c r="AR54" s="25">
        <v>0</v>
      </c>
      <c r="AS54" s="25">
        <v>0</v>
      </c>
      <c r="AT54" s="25">
        <v>0</v>
      </c>
      <c r="AU54" s="25"/>
      <c r="AV54" s="26" t="e">
        <f>N54+O54+P54+Q54+R54+S54+T54+#REF!+AG54+AH54+AI54+AJ54+AK54+AL54+AM54+AN54+AO54+AP54+AQ54+AR54+AS54+AT54</f>
        <v>#REF!</v>
      </c>
      <c r="AW54" s="22" t="e">
        <f t="shared" si="4"/>
        <v>#REF!</v>
      </c>
    </row>
    <row r="55" spans="1:49" s="22" customFormat="1" ht="45" x14ac:dyDescent="0.25">
      <c r="A55" s="19"/>
      <c r="B55" s="11">
        <v>50</v>
      </c>
      <c r="C55" s="13" t="s">
        <v>113</v>
      </c>
      <c r="D55" s="12" t="s">
        <v>114</v>
      </c>
      <c r="E55" s="48" t="s">
        <v>351</v>
      </c>
      <c r="F55" s="14">
        <v>25289480</v>
      </c>
      <c r="G55" s="63">
        <v>2022</v>
      </c>
      <c r="H55" s="13">
        <v>10</v>
      </c>
      <c r="I55" s="15">
        <v>21893940.59</v>
      </c>
      <c r="J55" s="16">
        <v>26144000</v>
      </c>
      <c r="K55" s="16">
        <v>5228800</v>
      </c>
      <c r="L55" s="16">
        <v>118130</v>
      </c>
      <c r="M55" s="17">
        <v>48291</v>
      </c>
      <c r="N55" s="17"/>
      <c r="O55" s="20"/>
      <c r="P55" s="20"/>
      <c r="Q55" s="20">
        <v>13741756</v>
      </c>
      <c r="R55" s="20">
        <v>3029912</v>
      </c>
      <c r="S55" s="20">
        <v>4205362</v>
      </c>
      <c r="T55" s="59">
        <v>5166970</v>
      </c>
      <c r="U55" s="25"/>
      <c r="V55" s="25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>
        <v>0</v>
      </c>
      <c r="AH55" s="18">
        <v>0</v>
      </c>
      <c r="AI55" s="18">
        <v>0</v>
      </c>
      <c r="AJ55" s="18">
        <v>0</v>
      </c>
      <c r="AK55" s="18">
        <v>0</v>
      </c>
      <c r="AL55" s="18">
        <v>0</v>
      </c>
      <c r="AM55" s="18">
        <v>0</v>
      </c>
      <c r="AN55" s="18">
        <v>0</v>
      </c>
      <c r="AO55" s="18">
        <v>0</v>
      </c>
      <c r="AP55" s="18">
        <v>0</v>
      </c>
      <c r="AQ55" s="18">
        <v>0</v>
      </c>
      <c r="AR55" s="18">
        <v>0</v>
      </c>
      <c r="AS55" s="18">
        <v>0</v>
      </c>
      <c r="AT55" s="18">
        <v>0</v>
      </c>
      <c r="AU55" s="18"/>
      <c r="AV55" s="32" t="e">
        <f>N55+O55+P55+Q55+R55+S55+T55+#REF!+AG55+AH55+AI55+AJ55+AK55+AL55+AM55+AN55+AO55+AP55+AQ55+AR55+AS55+AT55</f>
        <v>#REF!</v>
      </c>
      <c r="AW55" s="19" t="e">
        <f t="shared" si="4"/>
        <v>#REF!</v>
      </c>
    </row>
    <row r="56" spans="1:49" s="22" customFormat="1" ht="30" x14ac:dyDescent="0.25">
      <c r="B56" s="23">
        <v>51</v>
      </c>
      <c r="C56" s="27" t="s">
        <v>115</v>
      </c>
      <c r="D56" s="24" t="s">
        <v>116</v>
      </c>
      <c r="E56" s="27" t="s">
        <v>117</v>
      </c>
      <c r="F56" s="41">
        <v>17896252</v>
      </c>
      <c r="G56" s="52">
        <v>2023</v>
      </c>
      <c r="H56" s="27">
        <v>15</v>
      </c>
      <c r="I56" s="42">
        <v>16546953.609999999</v>
      </c>
      <c r="J56" s="43">
        <v>28703000</v>
      </c>
      <c r="K56" s="43">
        <v>5740600</v>
      </c>
      <c r="L56" s="43">
        <v>127570</v>
      </c>
      <c r="M56" s="44">
        <v>50675</v>
      </c>
      <c r="N56" s="44"/>
      <c r="O56" s="45"/>
      <c r="P56" s="45"/>
      <c r="Q56" s="45"/>
      <c r="R56" s="45">
        <v>6124600</v>
      </c>
      <c r="S56" s="45">
        <v>1938000</v>
      </c>
      <c r="T56" s="59">
        <v>1300000</v>
      </c>
      <c r="U56" s="25">
        <v>1180000</v>
      </c>
      <c r="V56" s="25"/>
      <c r="W56" s="25"/>
      <c r="X56" s="25" t="s">
        <v>381</v>
      </c>
      <c r="Y56" s="25"/>
      <c r="Z56" s="25"/>
      <c r="AA56" s="25"/>
      <c r="AB56" s="25">
        <f>$L$56</f>
        <v>127570</v>
      </c>
      <c r="AC56" s="25">
        <f>$L$56</f>
        <v>127570</v>
      </c>
      <c r="AD56" s="25">
        <f>$L$56</f>
        <v>127570</v>
      </c>
      <c r="AE56" s="25">
        <f>$L$56</f>
        <v>127570</v>
      </c>
      <c r="AF56" s="25">
        <f>$L$56</f>
        <v>127570</v>
      </c>
      <c r="AG56" s="25">
        <v>1530840</v>
      </c>
      <c r="AH56" s="25">
        <v>1530840</v>
      </c>
      <c r="AI56" s="25">
        <v>1530840</v>
      </c>
      <c r="AJ56" s="25">
        <v>1530840</v>
      </c>
      <c r="AK56" s="25">
        <v>1530840</v>
      </c>
      <c r="AL56" s="25">
        <v>1530840</v>
      </c>
      <c r="AM56" s="25">
        <v>1530840</v>
      </c>
      <c r="AN56" s="25">
        <v>1530840</v>
      </c>
      <c r="AO56" s="25">
        <v>1530840</v>
      </c>
      <c r="AP56" s="25">
        <v>1530840</v>
      </c>
      <c r="AQ56" s="25">
        <v>1530840</v>
      </c>
      <c r="AR56" s="25">
        <v>715180</v>
      </c>
      <c r="AS56" s="25">
        <v>0</v>
      </c>
      <c r="AT56" s="25">
        <v>0</v>
      </c>
      <c r="AU56" s="25"/>
      <c r="AV56" s="26" t="e">
        <f>N56+O56+P56+Q56+R56+S56+T56+#REF!+AG56+AH56+AI56+AJ56+AK56+AL56+AM56+AN56+AO56+AP56+AQ56+AR56+AS56+AT56</f>
        <v>#REF!</v>
      </c>
      <c r="AW56" s="22" t="e">
        <f t="shared" si="4"/>
        <v>#REF!</v>
      </c>
    </row>
    <row r="57" spans="1:49" s="22" customFormat="1" ht="30" x14ac:dyDescent="0.25">
      <c r="B57" s="23">
        <v>52</v>
      </c>
      <c r="C57" s="50" t="s">
        <v>353</v>
      </c>
      <c r="D57" s="79" t="s">
        <v>354</v>
      </c>
      <c r="E57" s="80" t="s">
        <v>355</v>
      </c>
      <c r="F57" s="70">
        <v>17915331</v>
      </c>
      <c r="G57" s="52">
        <v>2026</v>
      </c>
      <c r="H57" s="27">
        <v>15</v>
      </c>
      <c r="I57" s="74">
        <v>16067103.720000001</v>
      </c>
      <c r="J57" s="43">
        <v>32025000</v>
      </c>
      <c r="K57" s="43">
        <v>6500000</v>
      </c>
      <c r="L57" s="43">
        <v>141810</v>
      </c>
      <c r="M57" s="44"/>
      <c r="N57" s="45"/>
      <c r="O57" s="45"/>
      <c r="P57" s="45"/>
      <c r="Q57" s="45"/>
      <c r="R57" s="45"/>
      <c r="S57" s="45"/>
      <c r="T57" s="25"/>
      <c r="U57" s="25">
        <v>8175000</v>
      </c>
      <c r="V57" s="25"/>
      <c r="W57" s="25"/>
      <c r="X57" s="25" t="s">
        <v>381</v>
      </c>
      <c r="Y57" s="25"/>
      <c r="Z57" s="25"/>
      <c r="AA57" s="25"/>
      <c r="AB57" s="25">
        <f>$L$57</f>
        <v>141810</v>
      </c>
      <c r="AC57" s="25">
        <f>$L$57</f>
        <v>141810</v>
      </c>
      <c r="AD57" s="25">
        <f>$L$57</f>
        <v>141810</v>
      </c>
      <c r="AE57" s="25">
        <f>$L$57</f>
        <v>141810</v>
      </c>
      <c r="AF57" s="25">
        <f>$L$57</f>
        <v>141810</v>
      </c>
      <c r="AG57" s="25">
        <v>1701720</v>
      </c>
      <c r="AH57" s="25">
        <v>1701720</v>
      </c>
      <c r="AI57" s="25">
        <v>1701720</v>
      </c>
      <c r="AJ57" s="25">
        <v>1701720</v>
      </c>
      <c r="AK57" s="25">
        <v>1701720</v>
      </c>
      <c r="AL57" s="25">
        <v>1701720</v>
      </c>
      <c r="AM57" s="25">
        <v>1701720</v>
      </c>
      <c r="AN57" s="25">
        <v>1701720</v>
      </c>
      <c r="AO57" s="25">
        <v>1701720</v>
      </c>
      <c r="AP57" s="25">
        <v>1701720</v>
      </c>
      <c r="AQ57" s="25">
        <v>1701720</v>
      </c>
      <c r="AR57" s="25">
        <v>1701720</v>
      </c>
      <c r="AS57" s="25">
        <v>1701720</v>
      </c>
      <c r="AT57" s="25">
        <v>1701720</v>
      </c>
      <c r="AU57" s="25">
        <v>141010</v>
      </c>
      <c r="AV57" s="26" t="e">
        <f>N57+O57+P57+Q57+R57+S57+T57+#REF!+AG57+AH57+AI57+AJ57+AK57+AL57+AM57+AN57+AO57+AP57+AQ57+AR57+AS57+AT57+AU57</f>
        <v>#REF!</v>
      </c>
    </row>
    <row r="58" spans="1:49" s="22" customFormat="1" ht="30" x14ac:dyDescent="0.25">
      <c r="B58" s="23">
        <v>53</v>
      </c>
      <c r="C58" s="27" t="s">
        <v>118</v>
      </c>
      <c r="D58" s="24" t="s">
        <v>119</v>
      </c>
      <c r="E58" s="27" t="s">
        <v>120</v>
      </c>
      <c r="F58" s="41">
        <v>23533048</v>
      </c>
      <c r="G58" s="52">
        <v>2022</v>
      </c>
      <c r="H58" s="27">
        <v>15</v>
      </c>
      <c r="I58" s="42">
        <v>20373338.969999999</v>
      </c>
      <c r="J58" s="43">
        <v>25318000</v>
      </c>
      <c r="K58" s="43">
        <v>5063600</v>
      </c>
      <c r="L58" s="43">
        <v>57220</v>
      </c>
      <c r="M58" s="44">
        <v>50117</v>
      </c>
      <c r="N58" s="44"/>
      <c r="O58" s="45"/>
      <c r="P58" s="45"/>
      <c r="Q58" s="45">
        <v>15540480</v>
      </c>
      <c r="R58" s="45">
        <v>698520</v>
      </c>
      <c r="S58" s="45">
        <v>696000</v>
      </c>
      <c r="T58" s="59">
        <v>713000</v>
      </c>
      <c r="U58" s="25">
        <v>59000</v>
      </c>
      <c r="V58" s="25">
        <v>58000</v>
      </c>
      <c r="W58" s="25">
        <v>60000</v>
      </c>
      <c r="X58" s="25">
        <v>60000</v>
      </c>
      <c r="Y58" s="25">
        <v>58000</v>
      </c>
      <c r="Z58" s="25">
        <v>60000</v>
      </c>
      <c r="AA58" s="25"/>
      <c r="AB58" s="25">
        <f>$L$58</f>
        <v>57220</v>
      </c>
      <c r="AC58" s="25">
        <f>$L$58</f>
        <v>57220</v>
      </c>
      <c r="AD58" s="25">
        <f>$L$58</f>
        <v>57220</v>
      </c>
      <c r="AE58" s="25">
        <f>$L$58</f>
        <v>57220</v>
      </c>
      <c r="AF58" s="25">
        <f>$L$58</f>
        <v>57220</v>
      </c>
      <c r="AG58" s="25">
        <v>686640</v>
      </c>
      <c r="AH58" s="25">
        <v>686640</v>
      </c>
      <c r="AI58" s="25">
        <v>686640</v>
      </c>
      <c r="AJ58" s="25">
        <v>686640</v>
      </c>
      <c r="AK58" s="25">
        <v>686640</v>
      </c>
      <c r="AL58" s="25">
        <v>686640</v>
      </c>
      <c r="AM58" s="25">
        <v>686640</v>
      </c>
      <c r="AN58" s="25">
        <v>686640</v>
      </c>
      <c r="AO58" s="25">
        <v>686640</v>
      </c>
      <c r="AP58" s="25">
        <v>686640</v>
      </c>
      <c r="AQ58" s="25">
        <v>122740</v>
      </c>
      <c r="AR58" s="25">
        <v>0</v>
      </c>
      <c r="AS58" s="25">
        <v>0</v>
      </c>
      <c r="AT58" s="25">
        <v>0</v>
      </c>
      <c r="AU58" s="25"/>
      <c r="AV58" s="26" t="e">
        <f>N58+O58+P58+Q58+R58+S58+T58+#REF!+AG58+AH58+AI58+AJ58+AK58+AL58+AM58+AN58+AO58+AP58+AQ58+AR58+AS58+AT58</f>
        <v>#REF!</v>
      </c>
      <c r="AW58" s="22" t="e">
        <f t="shared" ref="AW58:AW90" si="5">J58=AV58</f>
        <v>#REF!</v>
      </c>
    </row>
    <row r="59" spans="1:49" s="22" customFormat="1" ht="45" customHeight="1" x14ac:dyDescent="0.25">
      <c r="B59" s="23">
        <v>54</v>
      </c>
      <c r="C59" s="27" t="s">
        <v>121</v>
      </c>
      <c r="D59" s="24" t="s">
        <v>122</v>
      </c>
      <c r="E59" s="27" t="s">
        <v>123</v>
      </c>
      <c r="F59" s="41">
        <v>20178432</v>
      </c>
      <c r="G59" s="52">
        <v>2023</v>
      </c>
      <c r="H59" s="27">
        <v>15</v>
      </c>
      <c r="I59" s="42">
        <v>17183382.379999999</v>
      </c>
      <c r="J59" s="43">
        <v>32409000</v>
      </c>
      <c r="K59" s="43">
        <v>6481800</v>
      </c>
      <c r="L59" s="43">
        <v>144040</v>
      </c>
      <c r="M59" s="44">
        <v>50568</v>
      </c>
      <c r="N59" s="44"/>
      <c r="O59" s="45"/>
      <c r="P59" s="45"/>
      <c r="Q59" s="45"/>
      <c r="R59" s="45">
        <v>7346040</v>
      </c>
      <c r="S59" s="45">
        <v>2126360</v>
      </c>
      <c r="T59" s="59">
        <v>2000000</v>
      </c>
      <c r="U59" s="25"/>
      <c r="V59" s="25"/>
      <c r="W59" s="25"/>
      <c r="X59" s="25" t="s">
        <v>381</v>
      </c>
      <c r="Y59" s="25"/>
      <c r="Z59" s="25"/>
      <c r="AA59" s="25"/>
      <c r="AB59" s="25">
        <f>$L$59</f>
        <v>144040</v>
      </c>
      <c r="AC59" s="25">
        <f>$L$59</f>
        <v>144040</v>
      </c>
      <c r="AD59" s="25">
        <f>$L$59</f>
        <v>144040</v>
      </c>
      <c r="AE59" s="25">
        <f>$L$59</f>
        <v>144040</v>
      </c>
      <c r="AF59" s="25">
        <f>$L$59</f>
        <v>144040</v>
      </c>
      <c r="AG59" s="25">
        <v>1728480</v>
      </c>
      <c r="AH59" s="25">
        <v>1728480</v>
      </c>
      <c r="AI59" s="25">
        <v>1728480</v>
      </c>
      <c r="AJ59" s="25">
        <v>1728480</v>
      </c>
      <c r="AK59" s="25">
        <v>1728480</v>
      </c>
      <c r="AL59" s="25">
        <v>1728480</v>
      </c>
      <c r="AM59" s="25">
        <v>1728480</v>
      </c>
      <c r="AN59" s="25">
        <v>1728480</v>
      </c>
      <c r="AO59" s="25">
        <v>1728480</v>
      </c>
      <c r="AP59" s="25">
        <v>1728480</v>
      </c>
      <c r="AQ59" s="25">
        <v>1728480</v>
      </c>
      <c r="AR59" s="25">
        <v>1006760</v>
      </c>
      <c r="AS59" s="25">
        <v>0</v>
      </c>
      <c r="AT59" s="25">
        <v>0</v>
      </c>
      <c r="AU59" s="25"/>
      <c r="AV59" s="26" t="e">
        <f>N59+O59+P59+Q59+R59+S59+T59+#REF!+AG59+AH59+AI59+AJ59+AK59+AL59+AM59+AN59+AO59+AP59+AQ59+AR59+AS59+AT59</f>
        <v>#REF!</v>
      </c>
      <c r="AW59" s="22" t="e">
        <f t="shared" si="5"/>
        <v>#REF!</v>
      </c>
    </row>
    <row r="60" spans="1:49" s="22" customFormat="1" ht="30" x14ac:dyDescent="0.25">
      <c r="B60" s="23">
        <v>55</v>
      </c>
      <c r="C60" s="24" t="s">
        <v>124</v>
      </c>
      <c r="D60" s="24" t="s">
        <v>125</v>
      </c>
      <c r="E60" s="27" t="s">
        <v>126</v>
      </c>
      <c r="F60" s="41">
        <v>15067261</v>
      </c>
      <c r="G60" s="52">
        <v>2020</v>
      </c>
      <c r="H60" s="27">
        <v>10</v>
      </c>
      <c r="I60" s="42">
        <v>14473630.039999999</v>
      </c>
      <c r="J60" s="43">
        <v>15500000</v>
      </c>
      <c r="K60" s="43">
        <v>3100000</v>
      </c>
      <c r="L60" s="43">
        <v>103340</v>
      </c>
      <c r="M60" s="44">
        <v>47778</v>
      </c>
      <c r="N60" s="44"/>
      <c r="O60" s="45">
        <v>3306680</v>
      </c>
      <c r="P60" s="45">
        <v>1240080</v>
      </c>
      <c r="Q60" s="45">
        <v>1240080</v>
      </c>
      <c r="R60" s="45">
        <v>1240080</v>
      </c>
      <c r="S60" s="45">
        <v>1240080</v>
      </c>
      <c r="T60" s="59">
        <v>1240080</v>
      </c>
      <c r="U60" s="25">
        <f>L60</f>
        <v>103340</v>
      </c>
      <c r="V60" s="25">
        <f>L60</f>
        <v>103340</v>
      </c>
      <c r="W60" s="25">
        <f>L60</f>
        <v>103340</v>
      </c>
      <c r="X60" s="25">
        <v>103340</v>
      </c>
      <c r="Y60" s="25">
        <v>103340</v>
      </c>
      <c r="Z60" s="25">
        <f>$L$60</f>
        <v>103340</v>
      </c>
      <c r="AA60" s="25"/>
      <c r="AB60" s="25">
        <f>$L$60</f>
        <v>103340</v>
      </c>
      <c r="AC60" s="25">
        <f>$L$60</f>
        <v>103340</v>
      </c>
      <c r="AD60" s="25">
        <f>$L$60</f>
        <v>103340</v>
      </c>
      <c r="AE60" s="25">
        <f>$L$60</f>
        <v>103340</v>
      </c>
      <c r="AF60" s="25">
        <f>$L$60</f>
        <v>103340</v>
      </c>
      <c r="AG60" s="25">
        <v>1240080</v>
      </c>
      <c r="AH60" s="25">
        <v>1240080</v>
      </c>
      <c r="AI60" s="25">
        <v>1240080</v>
      </c>
      <c r="AJ60" s="25">
        <v>1032600</v>
      </c>
      <c r="AK60" s="25">
        <v>0</v>
      </c>
      <c r="AL60" s="25">
        <v>0</v>
      </c>
      <c r="AM60" s="25">
        <v>0</v>
      </c>
      <c r="AN60" s="25">
        <v>0</v>
      </c>
      <c r="AO60" s="25">
        <v>0</v>
      </c>
      <c r="AP60" s="25">
        <v>0</v>
      </c>
      <c r="AQ60" s="25">
        <v>0</v>
      </c>
      <c r="AR60" s="25">
        <v>0</v>
      </c>
      <c r="AS60" s="25">
        <v>0</v>
      </c>
      <c r="AT60" s="25">
        <v>0</v>
      </c>
      <c r="AU60" s="25"/>
      <c r="AV60" s="26" t="e">
        <f>N60+O60+P60+Q60+R60+S60+T60+#REF!+AG60+AH60+AI60+AJ60+AK60+AL60+AM60+AN60+AO60+AP60+AQ60+AR60+AS60+AT60</f>
        <v>#REF!</v>
      </c>
      <c r="AW60" s="22" t="e">
        <f t="shared" si="5"/>
        <v>#REF!</v>
      </c>
    </row>
    <row r="61" spans="1:49" s="22" customFormat="1" ht="30" x14ac:dyDescent="0.25">
      <c r="A61" s="19"/>
      <c r="B61" s="11">
        <v>56</v>
      </c>
      <c r="C61" s="29" t="s">
        <v>288</v>
      </c>
      <c r="D61" s="31" t="s">
        <v>289</v>
      </c>
      <c r="E61" s="30" t="s">
        <v>330</v>
      </c>
      <c r="F61" s="38">
        <v>25238727</v>
      </c>
      <c r="G61" s="63">
        <v>2021</v>
      </c>
      <c r="H61" s="13"/>
      <c r="I61" s="39">
        <v>23958820.149999999</v>
      </c>
      <c r="J61" s="16">
        <v>14410252.800000001</v>
      </c>
      <c r="K61" s="16"/>
      <c r="L61" s="16"/>
      <c r="M61" s="17"/>
      <c r="N61" s="20"/>
      <c r="O61" s="20"/>
      <c r="P61" s="20">
        <v>7445307</v>
      </c>
      <c r="Q61" s="20">
        <v>6964945.7999999998</v>
      </c>
      <c r="R61" s="20"/>
      <c r="S61" s="20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32" t="e">
        <f>N61+O61+P61+Q61+R61+S61+T61+#REF!+AG61+AH61+AI61+AJ61+AK61+AL61+AM61+AN61+AO61+AP61+AQ61+AR61+AS61+AT61</f>
        <v>#REF!</v>
      </c>
      <c r="AW61" s="19" t="e">
        <f t="shared" si="5"/>
        <v>#REF!</v>
      </c>
    </row>
    <row r="62" spans="1:49" s="22" customFormat="1" ht="30" x14ac:dyDescent="0.25">
      <c r="B62" s="23">
        <v>57</v>
      </c>
      <c r="C62" s="51" t="s">
        <v>350</v>
      </c>
      <c r="D62" s="79" t="s">
        <v>348</v>
      </c>
      <c r="E62" s="80" t="s">
        <v>349</v>
      </c>
      <c r="F62" s="70">
        <v>33520000</v>
      </c>
      <c r="G62" s="52">
        <v>2025</v>
      </c>
      <c r="H62" s="27">
        <v>15</v>
      </c>
      <c r="I62" s="74">
        <v>32039533.510000002</v>
      </c>
      <c r="J62" s="43">
        <v>38217000</v>
      </c>
      <c r="K62" s="43">
        <v>9173400</v>
      </c>
      <c r="L62" s="43">
        <v>161360</v>
      </c>
      <c r="M62" s="44"/>
      <c r="N62" s="45"/>
      <c r="O62" s="45"/>
      <c r="P62" s="45"/>
      <c r="Q62" s="45"/>
      <c r="R62" s="45"/>
      <c r="S62" s="45"/>
      <c r="T62" s="59">
        <v>9173400</v>
      </c>
      <c r="U62" s="25">
        <f>L62</f>
        <v>161360</v>
      </c>
      <c r="V62" s="25">
        <f>L62</f>
        <v>161360</v>
      </c>
      <c r="W62" s="25">
        <f>L62</f>
        <v>161360</v>
      </c>
      <c r="X62" s="25">
        <v>161360</v>
      </c>
      <c r="Y62" s="25">
        <v>161360</v>
      </c>
      <c r="Z62" s="25">
        <f>$L$62</f>
        <v>161360</v>
      </c>
      <c r="AA62" s="25"/>
      <c r="AB62" s="25">
        <f>$L$62</f>
        <v>161360</v>
      </c>
      <c r="AC62" s="25">
        <f>$L$62</f>
        <v>161360</v>
      </c>
      <c r="AD62" s="25">
        <f>$L$62</f>
        <v>161360</v>
      </c>
      <c r="AE62" s="25">
        <f>$L$62</f>
        <v>161360</v>
      </c>
      <c r="AF62" s="25">
        <f>$L$62</f>
        <v>161360</v>
      </c>
      <c r="AG62" s="25">
        <v>1936320</v>
      </c>
      <c r="AH62" s="25">
        <v>1936320</v>
      </c>
      <c r="AI62" s="25">
        <v>1936320</v>
      </c>
      <c r="AJ62" s="25">
        <v>1936320</v>
      </c>
      <c r="AK62" s="25">
        <v>1936320</v>
      </c>
      <c r="AL62" s="25">
        <v>1936320</v>
      </c>
      <c r="AM62" s="25">
        <v>1936320</v>
      </c>
      <c r="AN62" s="25">
        <v>1936320</v>
      </c>
      <c r="AO62" s="25">
        <v>1936320</v>
      </c>
      <c r="AP62" s="25">
        <v>1936320</v>
      </c>
      <c r="AQ62" s="25">
        <v>1936320</v>
      </c>
      <c r="AR62" s="25">
        <v>1936320</v>
      </c>
      <c r="AS62" s="25">
        <v>1936320</v>
      </c>
      <c r="AT62" s="25">
        <v>1935120</v>
      </c>
      <c r="AU62" s="25"/>
      <c r="AV62" s="26" t="e">
        <f>N62+O62+P62+Q62+R62+S62+T62+#REF!+AG62+AH62+AI62+AJ62+AK62+AL62+AM62+AN62+AO62+AP62+AQ62+AR62+AS62+AT62</f>
        <v>#REF!</v>
      </c>
      <c r="AW62" s="22" t="e">
        <f t="shared" si="5"/>
        <v>#REF!</v>
      </c>
    </row>
    <row r="63" spans="1:49" s="22" customFormat="1" ht="30" x14ac:dyDescent="0.25">
      <c r="B63" s="23">
        <v>58</v>
      </c>
      <c r="C63" s="27" t="s">
        <v>127</v>
      </c>
      <c r="D63" s="24" t="s">
        <v>128</v>
      </c>
      <c r="E63" s="27" t="s">
        <v>129</v>
      </c>
      <c r="F63" s="41">
        <v>17595590</v>
      </c>
      <c r="G63" s="52">
        <v>2022</v>
      </c>
      <c r="H63" s="27">
        <v>15</v>
      </c>
      <c r="I63" s="42">
        <v>15276201.42</v>
      </c>
      <c r="J63" s="43">
        <v>18103000</v>
      </c>
      <c r="K63" s="43">
        <v>3620600</v>
      </c>
      <c r="L63" s="43">
        <v>70520</v>
      </c>
      <c r="M63" s="44">
        <v>50145</v>
      </c>
      <c r="N63" s="44"/>
      <c r="O63" s="45"/>
      <c r="P63" s="45"/>
      <c r="Q63" s="45">
        <v>5973760</v>
      </c>
      <c r="R63" s="45">
        <v>846240</v>
      </c>
      <c r="S63" s="45">
        <v>934680</v>
      </c>
      <c r="T63" s="59">
        <v>3387600</v>
      </c>
      <c r="U63" s="25">
        <v>72000</v>
      </c>
      <c r="V63" s="25">
        <v>71000</v>
      </c>
      <c r="W63" s="25">
        <v>74000</v>
      </c>
      <c r="X63" s="25">
        <v>74000</v>
      </c>
      <c r="Y63" s="25">
        <v>74000</v>
      </c>
      <c r="Z63" s="25">
        <v>74000</v>
      </c>
      <c r="AA63" s="88">
        <v>74000</v>
      </c>
      <c r="AB63" s="25">
        <f>$L$63</f>
        <v>70520</v>
      </c>
      <c r="AC63" s="25">
        <f>$L$63</f>
        <v>70520</v>
      </c>
      <c r="AD63" s="25">
        <f>$L$63</f>
        <v>70520</v>
      </c>
      <c r="AE63" s="25">
        <f>$L$63</f>
        <v>70520</v>
      </c>
      <c r="AF63" s="25">
        <f>$L$63</f>
        <v>70520</v>
      </c>
      <c r="AG63" s="25">
        <v>846240</v>
      </c>
      <c r="AH63" s="25">
        <v>846240</v>
      </c>
      <c r="AI63" s="25">
        <v>846240</v>
      </c>
      <c r="AJ63" s="25">
        <v>846240</v>
      </c>
      <c r="AK63" s="25">
        <v>846240</v>
      </c>
      <c r="AL63" s="25">
        <v>846240</v>
      </c>
      <c r="AM63" s="25">
        <v>846240</v>
      </c>
      <c r="AN63" s="25">
        <v>846240</v>
      </c>
      <c r="AO63" s="25"/>
      <c r="AP63" s="25">
        <v>0</v>
      </c>
      <c r="AQ63" s="25">
        <v>0</v>
      </c>
      <c r="AR63" s="25">
        <v>0</v>
      </c>
      <c r="AS63" s="25">
        <v>0</v>
      </c>
      <c r="AT63" s="25">
        <v>0</v>
      </c>
      <c r="AU63" s="25"/>
      <c r="AV63" s="26" t="e">
        <f>N63+O63+P63+Q63+R63+S63+T63+#REF!+AG63+AH63+AI63+AJ63+AK63+AL63+AM63+AN63+AO63+AP63+AQ63+AR63+AS63+AT63</f>
        <v>#REF!</v>
      </c>
      <c r="AW63" s="22" t="e">
        <f t="shared" si="5"/>
        <v>#REF!</v>
      </c>
    </row>
    <row r="64" spans="1:49" s="22" customFormat="1" ht="30" x14ac:dyDescent="0.25">
      <c r="B64" s="23">
        <v>59</v>
      </c>
      <c r="C64" s="27" t="s">
        <v>130</v>
      </c>
      <c r="D64" s="24" t="s">
        <v>131</v>
      </c>
      <c r="E64" s="27" t="s">
        <v>132</v>
      </c>
      <c r="F64" s="41">
        <v>17333668</v>
      </c>
      <c r="G64" s="52">
        <v>2025</v>
      </c>
      <c r="H64" s="27">
        <v>15</v>
      </c>
      <c r="I64" s="42">
        <v>14449934.300000001</v>
      </c>
      <c r="J64" s="43">
        <v>27270899</v>
      </c>
      <c r="K64" s="43">
        <v>5454179.7999999998</v>
      </c>
      <c r="L64" s="43">
        <v>121210</v>
      </c>
      <c r="M64" s="44">
        <v>51159</v>
      </c>
      <c r="N64" s="44"/>
      <c r="O64" s="45"/>
      <c r="P64" s="45"/>
      <c r="Q64" s="45"/>
      <c r="R64" s="45"/>
      <c r="S64" s="45"/>
      <c r="T64" s="59">
        <v>7025389.7999999998</v>
      </c>
      <c r="U64" s="25">
        <v>200000</v>
      </c>
      <c r="V64" s="25">
        <v>150000</v>
      </c>
      <c r="W64" s="25">
        <v>200000</v>
      </c>
      <c r="X64" s="25">
        <v>200000</v>
      </c>
      <c r="Y64" s="25">
        <v>180000</v>
      </c>
      <c r="Z64" s="25">
        <v>200000</v>
      </c>
      <c r="AA64" s="25"/>
      <c r="AB64" s="25">
        <f>$L$64</f>
        <v>121210</v>
      </c>
      <c r="AC64" s="25">
        <f>$L$64</f>
        <v>121210</v>
      </c>
      <c r="AD64" s="25">
        <f>$L$64</f>
        <v>121210</v>
      </c>
      <c r="AE64" s="25">
        <f>$L$64</f>
        <v>121210</v>
      </c>
      <c r="AF64" s="25">
        <f>$L$64</f>
        <v>121210</v>
      </c>
      <c r="AG64" s="25">
        <v>1454520</v>
      </c>
      <c r="AH64" s="25">
        <v>1454520</v>
      </c>
      <c r="AI64" s="25">
        <v>1454520</v>
      </c>
      <c r="AJ64" s="25">
        <v>1454520</v>
      </c>
      <c r="AK64" s="25">
        <v>1454520</v>
      </c>
      <c r="AL64" s="25">
        <v>1454520</v>
      </c>
      <c r="AM64" s="25">
        <v>1454520</v>
      </c>
      <c r="AN64" s="25">
        <v>1454520</v>
      </c>
      <c r="AO64" s="25">
        <v>1454520</v>
      </c>
      <c r="AP64" s="25">
        <v>1454520</v>
      </c>
      <c r="AQ64" s="25">
        <v>1454520</v>
      </c>
      <c r="AR64" s="25">
        <v>1454520</v>
      </c>
      <c r="AS64" s="25">
        <v>1365539.2</v>
      </c>
      <c r="AT64" s="25">
        <v>0</v>
      </c>
      <c r="AU64" s="25"/>
      <c r="AV64" s="26" t="e">
        <f>N64+O64+P64+Q64+R64+S64+T64+#REF!+AG64+AH64+AI64+AJ64+AK64+AL64+AM64+AN64+AO64+AP64+AQ64+AR64+AS64+AT64</f>
        <v>#REF!</v>
      </c>
      <c r="AW64" s="22" t="e">
        <f t="shared" si="5"/>
        <v>#REF!</v>
      </c>
    </row>
    <row r="65" spans="1:49" s="22" customFormat="1" ht="30" x14ac:dyDescent="0.25">
      <c r="B65" s="23">
        <v>60</v>
      </c>
      <c r="C65" s="27" t="s">
        <v>133</v>
      </c>
      <c r="D65" s="33" t="s">
        <v>134</v>
      </c>
      <c r="E65" s="27" t="s">
        <v>135</v>
      </c>
      <c r="F65" s="41">
        <v>13421075</v>
      </c>
      <c r="G65" s="52">
        <v>2022</v>
      </c>
      <c r="H65" s="27">
        <v>15</v>
      </c>
      <c r="I65" s="42">
        <v>12730228.789999999</v>
      </c>
      <c r="J65" s="43">
        <v>15861000</v>
      </c>
      <c r="K65" s="43">
        <v>3172200</v>
      </c>
      <c r="L65" s="43">
        <v>70500</v>
      </c>
      <c r="M65" s="44">
        <v>50078</v>
      </c>
      <c r="N65" s="44"/>
      <c r="O65" s="45"/>
      <c r="P65" s="45"/>
      <c r="Q65" s="45">
        <v>4332200</v>
      </c>
      <c r="R65" s="45">
        <v>1140000</v>
      </c>
      <c r="S65" s="45">
        <v>1360000</v>
      </c>
      <c r="T65" s="59">
        <v>1658300</v>
      </c>
      <c r="U65" s="25">
        <v>70000</v>
      </c>
      <c r="V65" s="25">
        <v>70000</v>
      </c>
      <c r="W65" s="25">
        <v>130000</v>
      </c>
      <c r="X65" s="25">
        <v>140000</v>
      </c>
      <c r="Y65" s="25">
        <v>140000</v>
      </c>
      <c r="Z65" s="25">
        <v>140000</v>
      </c>
      <c r="AA65" s="25"/>
      <c r="AB65" s="25">
        <f>$L$65</f>
        <v>70500</v>
      </c>
      <c r="AC65" s="25">
        <f>$L$65</f>
        <v>70500</v>
      </c>
      <c r="AD65" s="25">
        <f>$L$65</f>
        <v>70500</v>
      </c>
      <c r="AE65" s="25">
        <f>$L$65</f>
        <v>70500</v>
      </c>
      <c r="AF65" s="25">
        <f>$L$65</f>
        <v>70500</v>
      </c>
      <c r="AG65" s="25">
        <v>846000</v>
      </c>
      <c r="AH65" s="25">
        <v>846000</v>
      </c>
      <c r="AI65" s="25">
        <v>846000</v>
      </c>
      <c r="AJ65" s="25">
        <v>846000</v>
      </c>
      <c r="AK65" s="25">
        <v>846000</v>
      </c>
      <c r="AL65" s="25">
        <v>846000</v>
      </c>
      <c r="AM65" s="25">
        <v>846000</v>
      </c>
      <c r="AN65" s="25">
        <v>602000</v>
      </c>
      <c r="AO65" s="25">
        <v>0</v>
      </c>
      <c r="AP65" s="25">
        <v>0</v>
      </c>
      <c r="AQ65" s="25">
        <v>0</v>
      </c>
      <c r="AR65" s="25">
        <v>0</v>
      </c>
      <c r="AS65" s="25">
        <v>0</v>
      </c>
      <c r="AT65" s="25">
        <v>0</v>
      </c>
      <c r="AU65" s="25"/>
      <c r="AV65" s="26" t="e">
        <f>N65+O65+P65+Q65+R65+S65+T65+#REF!+AG65+AH65+AI65+AJ65+AK65+AL65+AM65+AN65+AO65+AP65+AQ65+AR65+AS65+AT65</f>
        <v>#REF!</v>
      </c>
      <c r="AW65" s="22" t="e">
        <f t="shared" si="5"/>
        <v>#REF!</v>
      </c>
    </row>
    <row r="66" spans="1:49" s="22" customFormat="1" ht="30" x14ac:dyDescent="0.25">
      <c r="B66" s="23">
        <v>61</v>
      </c>
      <c r="C66" s="27" t="s">
        <v>136</v>
      </c>
      <c r="D66" s="24" t="s">
        <v>137</v>
      </c>
      <c r="E66" s="27" t="s">
        <v>138</v>
      </c>
      <c r="F66" s="41">
        <v>18700872</v>
      </c>
      <c r="G66" s="52">
        <v>2024</v>
      </c>
      <c r="H66" s="27">
        <v>15</v>
      </c>
      <c r="I66" s="42">
        <v>17040873.82</v>
      </c>
      <c r="J66" s="43">
        <v>34360511</v>
      </c>
      <c r="K66" s="43">
        <v>6873000</v>
      </c>
      <c r="L66" s="43">
        <v>152710</v>
      </c>
      <c r="M66" s="44">
        <v>51075</v>
      </c>
      <c r="N66" s="44"/>
      <c r="O66" s="45"/>
      <c r="P66" s="45"/>
      <c r="Q66" s="45"/>
      <c r="R66" s="45"/>
      <c r="S66" s="45">
        <v>7179000</v>
      </c>
      <c r="T66" s="59">
        <v>1989000</v>
      </c>
      <c r="U66" s="25"/>
      <c r="V66" s="25">
        <v>153000</v>
      </c>
      <c r="W66" s="25">
        <v>153000</v>
      </c>
      <c r="X66" s="25">
        <v>153000</v>
      </c>
      <c r="Y66" s="25">
        <v>153000</v>
      </c>
      <c r="Z66" s="25">
        <v>153000</v>
      </c>
      <c r="AA66" s="88">
        <v>153000</v>
      </c>
      <c r="AB66" s="25">
        <f>$L$66</f>
        <v>152710</v>
      </c>
      <c r="AC66" s="25">
        <f>$L$66</f>
        <v>152710</v>
      </c>
      <c r="AD66" s="25">
        <f>$L$66</f>
        <v>152710</v>
      </c>
      <c r="AE66" s="25">
        <f>$L$66</f>
        <v>152710</v>
      </c>
      <c r="AF66" s="25">
        <f>$L$66</f>
        <v>152710</v>
      </c>
      <c r="AG66" s="25">
        <v>1832520</v>
      </c>
      <c r="AH66" s="25">
        <v>1832520</v>
      </c>
      <c r="AI66" s="25">
        <v>1832520</v>
      </c>
      <c r="AJ66" s="25">
        <v>1832520</v>
      </c>
      <c r="AK66" s="25">
        <v>1832520</v>
      </c>
      <c r="AL66" s="25">
        <v>1832520</v>
      </c>
      <c r="AM66" s="25">
        <v>1832520</v>
      </c>
      <c r="AN66" s="25">
        <v>1832520</v>
      </c>
      <c r="AO66" s="25">
        <v>1832520</v>
      </c>
      <c r="AP66" s="25">
        <v>1832520</v>
      </c>
      <c r="AQ66" s="25">
        <v>1832520</v>
      </c>
      <c r="AR66" s="25">
        <v>1832520</v>
      </c>
      <c r="AS66" s="25">
        <v>1523041</v>
      </c>
      <c r="AT66" s="25">
        <v>0</v>
      </c>
      <c r="AU66" s="25"/>
      <c r="AV66" s="26" t="e">
        <f>N66+O66+P66+Q66+R66+S66+T66+#REF!+AG66+AH66+AI66+AJ66+AK66+AL66+AM66+AN66+AO66+AP66+AQ66+AR66+AS66+AT66</f>
        <v>#REF!</v>
      </c>
      <c r="AW66" s="22" t="e">
        <f t="shared" si="5"/>
        <v>#REF!</v>
      </c>
    </row>
    <row r="67" spans="1:49" s="22" customFormat="1" ht="45" x14ac:dyDescent="0.25">
      <c r="A67" s="19"/>
      <c r="B67" s="11">
        <v>62</v>
      </c>
      <c r="C67" s="29" t="s">
        <v>290</v>
      </c>
      <c r="D67" s="29" t="s">
        <v>291</v>
      </c>
      <c r="E67" s="30" t="s">
        <v>331</v>
      </c>
      <c r="F67" s="38">
        <v>18812051</v>
      </c>
      <c r="G67" s="63">
        <v>2022</v>
      </c>
      <c r="H67" s="13"/>
      <c r="I67" s="46">
        <v>17780662.34</v>
      </c>
      <c r="J67" s="16">
        <v>19177000</v>
      </c>
      <c r="K67" s="16"/>
      <c r="L67" s="16"/>
      <c r="M67" s="17"/>
      <c r="N67" s="20"/>
      <c r="O67" s="20"/>
      <c r="P67" s="20"/>
      <c r="Q67" s="20">
        <v>5463340</v>
      </c>
      <c r="R67" s="20">
        <v>992200</v>
      </c>
      <c r="S67" s="20">
        <v>138000</v>
      </c>
      <c r="T67" s="59">
        <v>12597000</v>
      </c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32" t="e">
        <f>N67+O67+P67+Q67+R67+S67+T67+#REF!+AG67+AH67+AI67+AJ67+AK67+AL67+AM67+AN67+AO67+AP67+AQ67+AR67+AS67+AT67</f>
        <v>#REF!</v>
      </c>
      <c r="AW67" s="19" t="e">
        <f t="shared" si="5"/>
        <v>#REF!</v>
      </c>
    </row>
    <row r="68" spans="1:49" s="19" customFormat="1" ht="30" x14ac:dyDescent="0.25">
      <c r="A68" s="22"/>
      <c r="B68" s="23">
        <v>63</v>
      </c>
      <c r="C68" s="24" t="s">
        <v>139</v>
      </c>
      <c r="D68" s="24" t="s">
        <v>140</v>
      </c>
      <c r="E68" s="27" t="s">
        <v>141</v>
      </c>
      <c r="F68" s="41">
        <v>14058151</v>
      </c>
      <c r="G68" s="52">
        <v>2021</v>
      </c>
      <c r="H68" s="27">
        <v>15</v>
      </c>
      <c r="I68" s="42">
        <v>13373013.51</v>
      </c>
      <c r="J68" s="43">
        <v>16317000</v>
      </c>
      <c r="K68" s="43">
        <v>3263400</v>
      </c>
      <c r="L68" s="43">
        <v>53100</v>
      </c>
      <c r="M68" s="44">
        <v>50023</v>
      </c>
      <c r="N68" s="44"/>
      <c r="O68" s="45"/>
      <c r="P68" s="45">
        <v>3263400</v>
      </c>
      <c r="Q68" s="45">
        <v>943485</v>
      </c>
      <c r="R68" s="45">
        <v>870240</v>
      </c>
      <c r="S68" s="45">
        <v>3661930</v>
      </c>
      <c r="T68" s="59">
        <v>1947365</v>
      </c>
      <c r="U68" s="25"/>
      <c r="V68" s="25"/>
      <c r="W68" s="25"/>
      <c r="X68" s="25" t="s">
        <v>381</v>
      </c>
      <c r="Y68" s="25"/>
      <c r="Z68" s="25"/>
      <c r="AA68" s="25"/>
      <c r="AB68" s="25"/>
      <c r="AC68" s="25"/>
      <c r="AD68" s="25"/>
      <c r="AE68" s="25"/>
      <c r="AF68" s="25"/>
      <c r="AG68" s="25">
        <v>0</v>
      </c>
      <c r="AH68" s="25">
        <v>578930</v>
      </c>
      <c r="AI68" s="25">
        <v>631560</v>
      </c>
      <c r="AJ68" s="25">
        <v>631560</v>
      </c>
      <c r="AK68" s="25">
        <v>631560</v>
      </c>
      <c r="AL68" s="25">
        <v>631560</v>
      </c>
      <c r="AM68" s="25">
        <v>631560</v>
      </c>
      <c r="AN68" s="25">
        <v>631560</v>
      </c>
      <c r="AO68" s="25">
        <v>631560</v>
      </c>
      <c r="AP68" s="25">
        <v>630730</v>
      </c>
      <c r="AQ68" s="25">
        <v>0</v>
      </c>
      <c r="AR68" s="25">
        <v>0</v>
      </c>
      <c r="AS68" s="25">
        <v>0</v>
      </c>
      <c r="AT68" s="25">
        <v>0</v>
      </c>
      <c r="AU68" s="25"/>
      <c r="AV68" s="26" t="e">
        <f>N68+O68+P68+Q68+R68+S68+T68+#REF!+AG68+AH68+AI68+AJ68+AK68+AL68+AM68+AN68+AO68+AP68+AQ68+AR68+AS68+AT68</f>
        <v>#REF!</v>
      </c>
      <c r="AW68" s="22" t="e">
        <f t="shared" si="5"/>
        <v>#REF!</v>
      </c>
    </row>
    <row r="69" spans="1:49" s="22" customFormat="1" ht="30" x14ac:dyDescent="0.25">
      <c r="A69" s="19"/>
      <c r="B69" s="11">
        <v>64</v>
      </c>
      <c r="C69" s="29" t="s">
        <v>292</v>
      </c>
      <c r="D69" s="29" t="s">
        <v>293</v>
      </c>
      <c r="E69" s="30" t="s">
        <v>332</v>
      </c>
      <c r="F69" s="38">
        <v>21136910</v>
      </c>
      <c r="G69" s="63">
        <v>2020</v>
      </c>
      <c r="H69" s="13"/>
      <c r="I69" s="39">
        <v>20282403.649999999</v>
      </c>
      <c r="J69" s="16">
        <v>12068288</v>
      </c>
      <c r="K69" s="16"/>
      <c r="L69" s="16"/>
      <c r="M69" s="17"/>
      <c r="N69" s="20"/>
      <c r="O69" s="20">
        <v>6035000</v>
      </c>
      <c r="P69" s="20">
        <v>1312680</v>
      </c>
      <c r="Q69" s="20">
        <v>4720608</v>
      </c>
      <c r="R69" s="20"/>
      <c r="S69" s="20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32" t="e">
        <f>N69+O69+P69+Q69+R69+S69+T69+#REF!+AG69+AH69+AI69+AJ69+AK69+AL69+AM69+AN69+AO69+AP69+AQ69+AR69+AS69+AT69</f>
        <v>#REF!</v>
      </c>
      <c r="AW69" s="19" t="e">
        <f t="shared" si="5"/>
        <v>#REF!</v>
      </c>
    </row>
    <row r="70" spans="1:49" s="19" customFormat="1" ht="30" x14ac:dyDescent="0.25">
      <c r="A70" s="22"/>
      <c r="B70" s="23">
        <v>65</v>
      </c>
      <c r="C70" s="24" t="s">
        <v>142</v>
      </c>
      <c r="D70" s="24" t="s">
        <v>143</v>
      </c>
      <c r="E70" s="27" t="s">
        <v>144</v>
      </c>
      <c r="F70" s="41">
        <v>20684395</v>
      </c>
      <c r="G70" s="52">
        <v>2021</v>
      </c>
      <c r="H70" s="27">
        <v>15</v>
      </c>
      <c r="I70" s="42">
        <v>18131189.370000001</v>
      </c>
      <c r="J70" s="43">
        <v>18399000</v>
      </c>
      <c r="K70" s="43">
        <v>4599750</v>
      </c>
      <c r="L70" s="43">
        <v>80000</v>
      </c>
      <c r="M70" s="44">
        <v>46980</v>
      </c>
      <c r="N70" s="44"/>
      <c r="O70" s="45"/>
      <c r="P70" s="45">
        <v>5455750</v>
      </c>
      <c r="Q70" s="45">
        <v>7504224</v>
      </c>
      <c r="R70" s="45">
        <v>969000</v>
      </c>
      <c r="S70" s="45">
        <v>880000</v>
      </c>
      <c r="T70" s="59">
        <v>1126000</v>
      </c>
      <c r="U70" s="25">
        <v>100000</v>
      </c>
      <c r="V70" s="25">
        <f>L70</f>
        <v>80000</v>
      </c>
      <c r="W70" s="25">
        <f>L70</f>
        <v>80000</v>
      </c>
      <c r="X70" s="25">
        <v>80000</v>
      </c>
      <c r="Y70" s="25">
        <v>80000</v>
      </c>
      <c r="Z70" s="25">
        <f>$L$70</f>
        <v>80000</v>
      </c>
      <c r="AA70" s="25"/>
      <c r="AB70" s="25">
        <f>$L$70</f>
        <v>80000</v>
      </c>
      <c r="AC70" s="25">
        <f>$L$70</f>
        <v>80000</v>
      </c>
      <c r="AD70" s="25">
        <f>$L$70</f>
        <v>80000</v>
      </c>
      <c r="AE70" s="25">
        <f>$L$70</f>
        <v>80000</v>
      </c>
      <c r="AF70" s="25">
        <f>$L$70</f>
        <v>80000</v>
      </c>
      <c r="AG70" s="25">
        <v>960000</v>
      </c>
      <c r="AH70" s="25">
        <v>544026</v>
      </c>
      <c r="AI70" s="25">
        <v>0</v>
      </c>
      <c r="AJ70" s="25">
        <v>0</v>
      </c>
      <c r="AK70" s="25">
        <v>0</v>
      </c>
      <c r="AL70" s="25">
        <v>0</v>
      </c>
      <c r="AM70" s="25">
        <v>0</v>
      </c>
      <c r="AN70" s="25">
        <v>0</v>
      </c>
      <c r="AO70" s="25">
        <v>0</v>
      </c>
      <c r="AP70" s="25">
        <v>0</v>
      </c>
      <c r="AQ70" s="25">
        <v>0</v>
      </c>
      <c r="AR70" s="25">
        <v>0</v>
      </c>
      <c r="AS70" s="25">
        <v>0</v>
      </c>
      <c r="AT70" s="25">
        <v>0</v>
      </c>
      <c r="AU70" s="25"/>
      <c r="AV70" s="26" t="e">
        <f>N70+O70+P70+Q70+R70+S70+T70+#REF!+AG70+AH70+AI70+AJ70+AK70+AL70+AM70+AN70+AO70+AP70+AQ70+AR70+AS70+AT70</f>
        <v>#REF!</v>
      </c>
      <c r="AW70" s="22" t="e">
        <f t="shared" si="5"/>
        <v>#REF!</v>
      </c>
    </row>
    <row r="71" spans="1:49" s="22" customFormat="1" ht="30" x14ac:dyDescent="0.25">
      <c r="B71" s="23">
        <v>66</v>
      </c>
      <c r="C71" s="28" t="s">
        <v>145</v>
      </c>
      <c r="D71" s="28" t="s">
        <v>146</v>
      </c>
      <c r="E71" s="27" t="s">
        <v>147</v>
      </c>
      <c r="F71" s="41">
        <v>18983764</v>
      </c>
      <c r="G71" s="52">
        <v>2021</v>
      </c>
      <c r="H71" s="27">
        <v>15</v>
      </c>
      <c r="I71" s="42">
        <v>18079632.170000002</v>
      </c>
      <c r="J71" s="43">
        <v>19924000</v>
      </c>
      <c r="K71" s="43">
        <v>3984800</v>
      </c>
      <c r="L71" s="43">
        <v>88560</v>
      </c>
      <c r="M71" s="44">
        <v>49841</v>
      </c>
      <c r="N71" s="44"/>
      <c r="O71" s="45"/>
      <c r="P71" s="45">
        <v>4516160</v>
      </c>
      <c r="Q71" s="45">
        <v>1062720</v>
      </c>
      <c r="R71" s="45">
        <v>1062720</v>
      </c>
      <c r="S71" s="45">
        <v>1062720</v>
      </c>
      <c r="T71" s="59">
        <v>1062720</v>
      </c>
      <c r="U71" s="25">
        <f>L71</f>
        <v>88560</v>
      </c>
      <c r="V71" s="25">
        <f>L71</f>
        <v>88560</v>
      </c>
      <c r="W71" s="25">
        <f>L71</f>
        <v>88560</v>
      </c>
      <c r="X71" s="25">
        <v>88560</v>
      </c>
      <c r="Y71" s="25">
        <v>88560</v>
      </c>
      <c r="Z71" s="25">
        <f>$L$71</f>
        <v>88560</v>
      </c>
      <c r="AA71" s="25"/>
      <c r="AB71" s="25">
        <f>$L$71</f>
        <v>88560</v>
      </c>
      <c r="AC71" s="25">
        <f>$L$71</f>
        <v>88560</v>
      </c>
      <c r="AD71" s="25">
        <f>$L$71</f>
        <v>88560</v>
      </c>
      <c r="AE71" s="25">
        <f>$L$71</f>
        <v>88560</v>
      </c>
      <c r="AF71" s="25">
        <f>$L$71</f>
        <v>88560</v>
      </c>
      <c r="AG71" s="25">
        <v>1062720</v>
      </c>
      <c r="AH71" s="25">
        <v>1062720</v>
      </c>
      <c r="AI71" s="25">
        <v>1062720</v>
      </c>
      <c r="AJ71" s="25">
        <v>1062720</v>
      </c>
      <c r="AK71" s="25">
        <v>1062720</v>
      </c>
      <c r="AL71" s="25">
        <v>1062720</v>
      </c>
      <c r="AM71" s="25">
        <v>1062720</v>
      </c>
      <c r="AN71" s="25">
        <v>1062720</v>
      </c>
      <c r="AO71" s="25">
        <v>1062720</v>
      </c>
      <c r="AP71" s="25">
        <v>529760</v>
      </c>
      <c r="AQ71" s="25">
        <v>0</v>
      </c>
      <c r="AR71" s="25">
        <v>0</v>
      </c>
      <c r="AS71" s="25">
        <v>0</v>
      </c>
      <c r="AT71" s="25">
        <v>0</v>
      </c>
      <c r="AU71" s="25"/>
      <c r="AV71" s="26" t="e">
        <f>N71+O71+P71+Q71+R71+S71+T71+#REF!+AG71+AH71+AI71+AJ71+AK71+AL71+AM71+AN71+AO71+AP71+AQ71+AR71+AS71+AT71</f>
        <v>#REF!</v>
      </c>
      <c r="AW71" s="22" t="e">
        <f t="shared" si="5"/>
        <v>#REF!</v>
      </c>
    </row>
    <row r="72" spans="1:49" s="22" customFormat="1" ht="30" x14ac:dyDescent="0.25">
      <c r="B72" s="23">
        <v>67</v>
      </c>
      <c r="C72" s="24" t="s">
        <v>148</v>
      </c>
      <c r="D72" s="24" t="s">
        <v>149</v>
      </c>
      <c r="E72" s="27" t="s">
        <v>150</v>
      </c>
      <c r="F72" s="41">
        <v>14036915</v>
      </c>
      <c r="G72" s="52">
        <v>2021</v>
      </c>
      <c r="H72" s="27">
        <v>15</v>
      </c>
      <c r="I72" s="42">
        <v>13365627.1</v>
      </c>
      <c r="J72" s="43">
        <v>16022000</v>
      </c>
      <c r="K72" s="43">
        <v>3204480</v>
      </c>
      <c r="L72" s="43">
        <v>71210</v>
      </c>
      <c r="M72" s="44">
        <v>49948</v>
      </c>
      <c r="N72" s="44"/>
      <c r="O72" s="45"/>
      <c r="P72" s="45">
        <v>3418110</v>
      </c>
      <c r="Q72" s="45">
        <v>854670</v>
      </c>
      <c r="R72" s="45">
        <v>854520</v>
      </c>
      <c r="S72" s="45">
        <v>854520</v>
      </c>
      <c r="T72" s="59">
        <v>854520</v>
      </c>
      <c r="U72" s="25">
        <f>L72</f>
        <v>71210</v>
      </c>
      <c r="V72" s="25">
        <f>L72</f>
        <v>71210</v>
      </c>
      <c r="W72" s="25">
        <f>L72</f>
        <v>71210</v>
      </c>
      <c r="X72" s="25">
        <v>71210</v>
      </c>
      <c r="Y72" s="25">
        <v>71210</v>
      </c>
      <c r="Z72" s="25">
        <v>71210</v>
      </c>
      <c r="AA72" s="25"/>
      <c r="AB72" s="25">
        <f>$L$72</f>
        <v>71210</v>
      </c>
      <c r="AC72" s="25">
        <f>$L$72</f>
        <v>71210</v>
      </c>
      <c r="AD72" s="25">
        <f>$L$72</f>
        <v>71210</v>
      </c>
      <c r="AE72" s="25">
        <f>$L$72</f>
        <v>71210</v>
      </c>
      <c r="AF72" s="25">
        <f>$L$72</f>
        <v>71210</v>
      </c>
      <c r="AG72" s="25">
        <v>854520</v>
      </c>
      <c r="AH72" s="25">
        <v>854520</v>
      </c>
      <c r="AI72" s="25">
        <v>854520</v>
      </c>
      <c r="AJ72" s="25">
        <v>854520</v>
      </c>
      <c r="AK72" s="25">
        <v>854520</v>
      </c>
      <c r="AL72" s="25">
        <v>854520</v>
      </c>
      <c r="AM72" s="25">
        <v>854520</v>
      </c>
      <c r="AN72" s="25">
        <v>854520</v>
      </c>
      <c r="AO72" s="25">
        <v>854520</v>
      </c>
      <c r="AP72" s="25">
        <v>640460</v>
      </c>
      <c r="AQ72" s="25">
        <v>0</v>
      </c>
      <c r="AR72" s="25">
        <v>0</v>
      </c>
      <c r="AS72" s="25">
        <v>0</v>
      </c>
      <c r="AT72" s="25">
        <v>0</v>
      </c>
      <c r="AU72" s="25"/>
      <c r="AV72" s="26" t="e">
        <f>N72+O72+P72+Q72+R72+S72+T72+#REF!+AG72+AH72+AI72+AJ72+AK72+AL72+AM72+AN72+AO72+AP72+AQ72+AR72+AS72+AT72</f>
        <v>#REF!</v>
      </c>
      <c r="AW72" s="22" t="e">
        <f t="shared" si="5"/>
        <v>#REF!</v>
      </c>
    </row>
    <row r="73" spans="1:49" s="22" customFormat="1" ht="30" x14ac:dyDescent="0.25">
      <c r="B73" s="23">
        <v>68</v>
      </c>
      <c r="C73" s="36" t="s">
        <v>151</v>
      </c>
      <c r="D73" s="24" t="s">
        <v>152</v>
      </c>
      <c r="E73" s="27" t="s">
        <v>153</v>
      </c>
      <c r="F73" s="41">
        <v>33112000</v>
      </c>
      <c r="G73" s="52">
        <v>2023</v>
      </c>
      <c r="H73" s="27">
        <v>15</v>
      </c>
      <c r="I73" s="42">
        <v>32560133.399999999</v>
      </c>
      <c r="J73" s="43">
        <v>32186000</v>
      </c>
      <c r="K73" s="43">
        <v>6437200</v>
      </c>
      <c r="L73" s="43">
        <v>143050</v>
      </c>
      <c r="M73" s="44">
        <v>50465</v>
      </c>
      <c r="N73" s="44"/>
      <c r="O73" s="45"/>
      <c r="P73" s="45"/>
      <c r="Q73" s="45"/>
      <c r="R73" s="45">
        <v>7910250</v>
      </c>
      <c r="S73" s="45">
        <v>1800000</v>
      </c>
      <c r="T73" s="59">
        <v>1950000</v>
      </c>
      <c r="U73" s="25"/>
      <c r="V73" s="25">
        <v>150000</v>
      </c>
      <c r="W73" s="25">
        <v>150000</v>
      </c>
      <c r="X73" s="25">
        <v>150000</v>
      </c>
      <c r="Y73" s="25">
        <v>150000</v>
      </c>
      <c r="Z73" s="25">
        <v>150000</v>
      </c>
      <c r="AA73" s="88">
        <v>150000</v>
      </c>
      <c r="AB73" s="25">
        <f>$L$73</f>
        <v>143050</v>
      </c>
      <c r="AC73" s="25">
        <f>$L$73</f>
        <v>143050</v>
      </c>
      <c r="AD73" s="25">
        <f>$L$73</f>
        <v>143050</v>
      </c>
      <c r="AE73" s="25">
        <f>$L$73</f>
        <v>143050</v>
      </c>
      <c r="AF73" s="25">
        <f>$L$73</f>
        <v>143050</v>
      </c>
      <c r="AG73" s="25">
        <v>1716600</v>
      </c>
      <c r="AH73" s="25">
        <v>1716600</v>
      </c>
      <c r="AI73" s="25">
        <v>1716600</v>
      </c>
      <c r="AJ73" s="25">
        <v>1716600</v>
      </c>
      <c r="AK73" s="25">
        <v>1716600</v>
      </c>
      <c r="AL73" s="25">
        <v>1716600</v>
      </c>
      <c r="AM73" s="25">
        <v>1716600</v>
      </c>
      <c r="AN73" s="25">
        <v>1716600</v>
      </c>
      <c r="AO73" s="25">
        <v>1716600</v>
      </c>
      <c r="AP73" s="25">
        <v>1716600</v>
      </c>
      <c r="AQ73" s="25">
        <v>1716600</v>
      </c>
      <c r="AR73" s="25">
        <v>83500</v>
      </c>
      <c r="AS73" s="25">
        <v>0</v>
      </c>
      <c r="AT73" s="25">
        <v>0</v>
      </c>
      <c r="AU73" s="25"/>
      <c r="AV73" s="26" t="e">
        <f>N73+O73+P73+Q73+R73+S73+T73+#REF!+AG73+AH73+AI73+AJ73+AK73+AL73+AM73+AN73+AO73+AP73+AQ73+AR73+AS73+AT73</f>
        <v>#REF!</v>
      </c>
      <c r="AW73" s="22" t="e">
        <f t="shared" si="5"/>
        <v>#REF!</v>
      </c>
    </row>
    <row r="74" spans="1:49" s="19" customFormat="1" ht="30" x14ac:dyDescent="0.25">
      <c r="B74" s="11">
        <v>69</v>
      </c>
      <c r="C74" s="29" t="s">
        <v>294</v>
      </c>
      <c r="D74" s="29" t="s">
        <v>295</v>
      </c>
      <c r="E74" s="30" t="s">
        <v>333</v>
      </c>
      <c r="F74" s="38">
        <v>20969489</v>
      </c>
      <c r="G74" s="63">
        <v>2021</v>
      </c>
      <c r="H74" s="13"/>
      <c r="I74" s="39">
        <v>19970783.91</v>
      </c>
      <c r="J74" s="16">
        <v>11972697.6</v>
      </c>
      <c r="K74" s="16"/>
      <c r="L74" s="16"/>
      <c r="M74" s="17"/>
      <c r="N74" s="20"/>
      <c r="O74" s="20"/>
      <c r="P74" s="20">
        <v>11972698</v>
      </c>
      <c r="Q74" s="20"/>
      <c r="R74" s="20"/>
      <c r="S74" s="20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32" t="e">
        <f>N74+O74+P74+Q74+R74+S74+T74+#REF!+AG74+AH74+AI74+AJ74+AK74+AL74+AM74+AN74+AO74+AP74+AQ74+AR74+AS74+AT74</f>
        <v>#REF!</v>
      </c>
      <c r="AW74" s="19" t="e">
        <f t="shared" si="5"/>
        <v>#REF!</v>
      </c>
    </row>
    <row r="75" spans="1:49" s="22" customFormat="1" ht="30" x14ac:dyDescent="0.25">
      <c r="B75" s="23">
        <v>70</v>
      </c>
      <c r="C75" s="27" t="s">
        <v>154</v>
      </c>
      <c r="D75" s="24" t="s">
        <v>155</v>
      </c>
      <c r="E75" s="27" t="s">
        <v>156</v>
      </c>
      <c r="F75" s="41">
        <v>17068285</v>
      </c>
      <c r="G75" s="52">
        <v>2023</v>
      </c>
      <c r="H75" s="27">
        <v>15</v>
      </c>
      <c r="I75" s="42">
        <v>14583211.029999999</v>
      </c>
      <c r="J75" s="43">
        <v>21780000</v>
      </c>
      <c r="K75" s="43">
        <v>4356000</v>
      </c>
      <c r="L75" s="43">
        <v>93581</v>
      </c>
      <c r="M75" s="44">
        <v>49371</v>
      </c>
      <c r="N75" s="44"/>
      <c r="O75" s="45"/>
      <c r="P75" s="45"/>
      <c r="Q75" s="45"/>
      <c r="R75" s="45">
        <v>5324000</v>
      </c>
      <c r="S75" s="45">
        <v>5761524</v>
      </c>
      <c r="T75" s="59">
        <v>1000000</v>
      </c>
      <c r="U75" s="25">
        <v>1400000</v>
      </c>
      <c r="V75" s="25"/>
      <c r="W75" s="25"/>
      <c r="X75" s="25" t="s">
        <v>381</v>
      </c>
      <c r="Y75" s="25"/>
      <c r="Z75" s="25"/>
      <c r="AA75" s="25"/>
      <c r="AB75" s="25">
        <f>$L$75</f>
        <v>93581</v>
      </c>
      <c r="AC75" s="25">
        <f>$L$75</f>
        <v>93581</v>
      </c>
      <c r="AD75" s="25">
        <f>$L$75</f>
        <v>93581</v>
      </c>
      <c r="AE75" s="25">
        <f>$L$75</f>
        <v>93581</v>
      </c>
      <c r="AF75" s="25">
        <f>$L$75</f>
        <v>93581</v>
      </c>
      <c r="AG75" s="25">
        <v>1122972</v>
      </c>
      <c r="AH75" s="25">
        <v>1122972</v>
      </c>
      <c r="AI75" s="25">
        <v>1122972</v>
      </c>
      <c r="AJ75" s="25">
        <v>1122972</v>
      </c>
      <c r="AK75" s="25">
        <v>1122972</v>
      </c>
      <c r="AL75" s="25">
        <v>1122972</v>
      </c>
      <c r="AM75" s="25">
        <v>1122972</v>
      </c>
      <c r="AN75" s="25">
        <v>1122972</v>
      </c>
      <c r="AO75" s="25">
        <v>242795</v>
      </c>
      <c r="AP75" s="25">
        <v>0</v>
      </c>
      <c r="AQ75" s="25">
        <v>0</v>
      </c>
      <c r="AR75" s="25">
        <v>0</v>
      </c>
      <c r="AS75" s="25">
        <v>0</v>
      </c>
      <c r="AT75" s="25">
        <v>0</v>
      </c>
      <c r="AU75" s="25"/>
      <c r="AV75" s="26" t="e">
        <f>N75+O75+P75+Q75+R75+S75+T75+#REF!+AG75+AH75+AI75+AJ75+AK75+AL75+AM75+AN75+AO75+AP75+AQ75+AR75+AS75+AT75</f>
        <v>#REF!</v>
      </c>
      <c r="AW75" s="22" t="e">
        <f t="shared" si="5"/>
        <v>#REF!</v>
      </c>
    </row>
    <row r="76" spans="1:49" s="22" customFormat="1" ht="30" x14ac:dyDescent="0.25">
      <c r="A76" s="19"/>
      <c r="B76" s="11">
        <v>71</v>
      </c>
      <c r="C76" s="47" t="s">
        <v>296</v>
      </c>
      <c r="D76" s="29" t="s">
        <v>297</v>
      </c>
      <c r="E76" s="30" t="s">
        <v>334</v>
      </c>
      <c r="F76" s="38">
        <v>20969489</v>
      </c>
      <c r="G76" s="63">
        <v>2019</v>
      </c>
      <c r="H76" s="13"/>
      <c r="I76" s="39">
        <v>20358984.870000001</v>
      </c>
      <c r="J76" s="16">
        <v>11972697.6</v>
      </c>
      <c r="K76" s="16"/>
      <c r="L76" s="16"/>
      <c r="M76" s="17"/>
      <c r="N76" s="20">
        <v>11972697.6</v>
      </c>
      <c r="O76" s="20"/>
      <c r="P76" s="20"/>
      <c r="Q76" s="20"/>
      <c r="R76" s="20"/>
      <c r="S76" s="20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32" t="e">
        <f>N76+O76+P76+Q76+R76+S76+T76+#REF!+AG76+AH76+AI76+AJ76+AK76+AL76+AM76+AN76+AO76+AP76+AQ76+AR76+AS76+AT76</f>
        <v>#REF!</v>
      </c>
      <c r="AW76" s="19" t="e">
        <f t="shared" si="5"/>
        <v>#REF!</v>
      </c>
    </row>
    <row r="77" spans="1:49" s="22" customFormat="1" ht="30" x14ac:dyDescent="0.25">
      <c r="A77" s="19"/>
      <c r="B77" s="11">
        <v>72</v>
      </c>
      <c r="C77" s="47" t="s">
        <v>298</v>
      </c>
      <c r="D77" s="29" t="s">
        <v>299</v>
      </c>
      <c r="E77" s="30" t="s">
        <v>335</v>
      </c>
      <c r="F77" s="38">
        <v>20822996</v>
      </c>
      <c r="G77" s="63">
        <v>2019</v>
      </c>
      <c r="H77" s="13"/>
      <c r="I77" s="39">
        <v>20216756.91</v>
      </c>
      <c r="J77" s="16">
        <v>11889056</v>
      </c>
      <c r="K77" s="16"/>
      <c r="L77" s="16"/>
      <c r="M77" s="17"/>
      <c r="N77" s="20">
        <v>6000000</v>
      </c>
      <c r="O77" s="20">
        <v>1890000</v>
      </c>
      <c r="P77" s="20">
        <v>1200000</v>
      </c>
      <c r="Q77" s="20">
        <v>2799056</v>
      </c>
      <c r="R77" s="20"/>
      <c r="S77" s="20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32" t="e">
        <f>N77+O77+P77+Q77+R77+S77+T77+#REF!+AG77+AH77+AI77+AJ77+AK77+AL77+AM77+AN77+AO77+AP77+AQ77+AR77+AS77+AT77</f>
        <v>#REF!</v>
      </c>
      <c r="AW77" s="19" t="e">
        <f t="shared" si="5"/>
        <v>#REF!</v>
      </c>
    </row>
    <row r="78" spans="1:49" s="22" customFormat="1" ht="30" x14ac:dyDescent="0.25">
      <c r="A78" s="19"/>
      <c r="B78" s="11">
        <v>73</v>
      </c>
      <c r="C78" s="30" t="s">
        <v>300</v>
      </c>
      <c r="D78" s="29" t="s">
        <v>301</v>
      </c>
      <c r="E78" s="30" t="s">
        <v>336</v>
      </c>
      <c r="F78" s="38">
        <v>25699135</v>
      </c>
      <c r="G78" s="63">
        <v>2023</v>
      </c>
      <c r="H78" s="13"/>
      <c r="I78" s="39">
        <v>23735103.149999999</v>
      </c>
      <c r="J78" s="16">
        <v>14673126.4</v>
      </c>
      <c r="K78" s="16"/>
      <c r="L78" s="16"/>
      <c r="M78" s="17"/>
      <c r="N78" s="20"/>
      <c r="O78" s="20"/>
      <c r="P78" s="20"/>
      <c r="Q78" s="20"/>
      <c r="R78" s="20">
        <v>14673126.4</v>
      </c>
      <c r="S78" s="20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32" t="e">
        <f>N78+O78+P78+Q78+R78+S78+T78+#REF!+AG78+AH78+AI78+AJ78+AK78+AL78+AM78+AN78+AO78+AP78+AQ78+AR78+AS78+AT78</f>
        <v>#REF!</v>
      </c>
      <c r="AW78" s="19" t="e">
        <f t="shared" si="5"/>
        <v>#REF!</v>
      </c>
    </row>
    <row r="79" spans="1:49" s="22" customFormat="1" ht="30" x14ac:dyDescent="0.25">
      <c r="B79" s="23">
        <v>74</v>
      </c>
      <c r="C79" s="27" t="s">
        <v>157</v>
      </c>
      <c r="D79" s="24" t="s">
        <v>158</v>
      </c>
      <c r="E79" s="27" t="s">
        <v>159</v>
      </c>
      <c r="F79" s="41">
        <v>13291000</v>
      </c>
      <c r="G79" s="52">
        <v>2022</v>
      </c>
      <c r="H79" s="27">
        <v>15</v>
      </c>
      <c r="I79" s="42">
        <v>13202393.359999999</v>
      </c>
      <c r="J79" s="43">
        <v>13558000</v>
      </c>
      <c r="K79" s="43">
        <v>2711600</v>
      </c>
      <c r="L79" s="43">
        <v>60260</v>
      </c>
      <c r="M79" s="44">
        <v>50079</v>
      </c>
      <c r="N79" s="44"/>
      <c r="O79" s="45"/>
      <c r="P79" s="45"/>
      <c r="Q79" s="45">
        <v>3399520</v>
      </c>
      <c r="R79" s="45">
        <v>692000</v>
      </c>
      <c r="S79" s="45">
        <v>775000</v>
      </c>
      <c r="T79" s="59">
        <v>780000</v>
      </c>
      <c r="U79" s="25">
        <v>65000</v>
      </c>
      <c r="V79" s="25">
        <v>65000</v>
      </c>
      <c r="W79" s="25">
        <v>65000</v>
      </c>
      <c r="X79" s="25">
        <v>65000</v>
      </c>
      <c r="Y79" s="25">
        <v>65000</v>
      </c>
      <c r="Z79" s="25">
        <f>65000+750000</f>
        <v>815000</v>
      </c>
      <c r="AA79" s="88">
        <v>65000</v>
      </c>
      <c r="AB79" s="25">
        <f>$L$79</f>
        <v>60260</v>
      </c>
      <c r="AC79" s="25">
        <f>$L$79</f>
        <v>60260</v>
      </c>
      <c r="AD79" s="25">
        <f>$L$79</f>
        <v>60260</v>
      </c>
      <c r="AE79" s="25">
        <f>$L$79</f>
        <v>60260</v>
      </c>
      <c r="AF79" s="25">
        <f>$L$79</f>
        <v>60260</v>
      </c>
      <c r="AG79" s="25">
        <v>723120</v>
      </c>
      <c r="AH79" s="25">
        <v>723120</v>
      </c>
      <c r="AI79" s="25">
        <v>723120</v>
      </c>
      <c r="AJ79" s="25">
        <v>723120</v>
      </c>
      <c r="AK79" s="25">
        <v>723120</v>
      </c>
      <c r="AL79" s="25">
        <v>723120</v>
      </c>
      <c r="AM79" s="25">
        <v>723120</v>
      </c>
      <c r="AN79" s="25">
        <v>723120</v>
      </c>
      <c r="AO79" s="25">
        <v>723120</v>
      </c>
      <c r="AP79" s="25">
        <v>685020</v>
      </c>
      <c r="AQ79" s="25">
        <v>0</v>
      </c>
      <c r="AR79" s="25">
        <v>0</v>
      </c>
      <c r="AS79" s="25">
        <v>0</v>
      </c>
      <c r="AT79" s="25">
        <v>0</v>
      </c>
      <c r="AU79" s="25"/>
      <c r="AV79" s="26" t="e">
        <f>N79+O79+P79+Q79+R79+S79+T79+#REF!+AG79+AH79+AI79+AJ79+AK79+AL79+AM79+AN79+AO79+AP79+AQ79+AR79+AS79+AT79</f>
        <v>#REF!</v>
      </c>
      <c r="AW79" s="22" t="e">
        <f t="shared" si="5"/>
        <v>#REF!</v>
      </c>
    </row>
    <row r="80" spans="1:49" s="22" customFormat="1" ht="30" x14ac:dyDescent="0.25">
      <c r="B80" s="23">
        <v>75</v>
      </c>
      <c r="C80" s="27" t="s">
        <v>160</v>
      </c>
      <c r="D80" s="24" t="s">
        <v>161</v>
      </c>
      <c r="E80" s="27" t="s">
        <v>162</v>
      </c>
      <c r="F80" s="41">
        <v>14058151</v>
      </c>
      <c r="G80" s="52">
        <v>2025</v>
      </c>
      <c r="H80" s="27">
        <v>15</v>
      </c>
      <c r="I80" s="42">
        <v>12846819.92</v>
      </c>
      <c r="J80" s="43">
        <v>22583291</v>
      </c>
      <c r="K80" s="43">
        <v>4516658.2</v>
      </c>
      <c r="L80" s="43">
        <v>100380</v>
      </c>
      <c r="M80" s="44">
        <v>51227</v>
      </c>
      <c r="N80" s="44"/>
      <c r="O80" s="45"/>
      <c r="P80" s="45"/>
      <c r="Q80" s="45"/>
      <c r="R80" s="45"/>
      <c r="S80" s="45"/>
      <c r="T80" s="59">
        <v>5420258.2000000002</v>
      </c>
      <c r="U80" s="25">
        <v>100400</v>
      </c>
      <c r="V80" s="25">
        <v>100400</v>
      </c>
      <c r="W80" s="25">
        <v>100400</v>
      </c>
      <c r="X80" s="25">
        <v>100400</v>
      </c>
      <c r="Y80" s="25">
        <v>100000</v>
      </c>
      <c r="Z80" s="25">
        <v>100000</v>
      </c>
      <c r="AA80" s="25"/>
      <c r="AB80" s="25">
        <f>$L$80</f>
        <v>100380</v>
      </c>
      <c r="AC80" s="25">
        <f>$L$80</f>
        <v>100380</v>
      </c>
      <c r="AD80" s="25">
        <f>$L$80</f>
        <v>100380</v>
      </c>
      <c r="AE80" s="25">
        <f>$L$80</f>
        <v>100380</v>
      </c>
      <c r="AF80" s="25">
        <f>$L$80</f>
        <v>100380</v>
      </c>
      <c r="AG80" s="25">
        <v>1204560</v>
      </c>
      <c r="AH80" s="25">
        <v>1204560</v>
      </c>
      <c r="AI80" s="25">
        <v>1204560</v>
      </c>
      <c r="AJ80" s="25">
        <v>1204560</v>
      </c>
      <c r="AK80" s="25">
        <v>1204560</v>
      </c>
      <c r="AL80" s="25">
        <v>1204560</v>
      </c>
      <c r="AM80" s="25">
        <v>1204560</v>
      </c>
      <c r="AN80" s="25">
        <v>1204560</v>
      </c>
      <c r="AO80" s="25">
        <v>1204560</v>
      </c>
      <c r="AP80" s="25">
        <v>1204560</v>
      </c>
      <c r="AQ80" s="25">
        <v>1204560</v>
      </c>
      <c r="AR80" s="25">
        <v>1204560</v>
      </c>
      <c r="AS80" s="25">
        <v>1204560</v>
      </c>
      <c r="AT80" s="25">
        <v>299212.79999999999</v>
      </c>
      <c r="AU80" s="25"/>
      <c r="AV80" s="26" t="e">
        <f>N80+O80+P80+Q80+R80+S80+T80+#REF!+AG80+AH80+AI80+AJ80+AK80+AL80+AM80+AN80+AO80+AP80+AQ80+AR80+AS80+AT80</f>
        <v>#REF!</v>
      </c>
      <c r="AW80" s="22" t="e">
        <f t="shared" si="5"/>
        <v>#REF!</v>
      </c>
    </row>
    <row r="81" spans="1:49" s="22" customFormat="1" ht="30" x14ac:dyDescent="0.25">
      <c r="B81" s="23">
        <v>76</v>
      </c>
      <c r="C81" s="27" t="s">
        <v>163</v>
      </c>
      <c r="D81" s="24" t="s">
        <v>164</v>
      </c>
      <c r="E81" s="27" t="s">
        <v>165</v>
      </c>
      <c r="F81" s="41">
        <v>19800347</v>
      </c>
      <c r="G81" s="52">
        <v>2025</v>
      </c>
      <c r="H81" s="27">
        <v>15</v>
      </c>
      <c r="I81" s="42">
        <v>16431467.93</v>
      </c>
      <c r="J81" s="43">
        <v>29313087</v>
      </c>
      <c r="K81" s="43">
        <v>5862617.4000000004</v>
      </c>
      <c r="L81" s="43">
        <v>130290</v>
      </c>
      <c r="M81" s="44">
        <v>51277</v>
      </c>
      <c r="N81" s="44"/>
      <c r="O81" s="45"/>
      <c r="P81" s="45"/>
      <c r="Q81" s="45"/>
      <c r="R81" s="45"/>
      <c r="S81" s="45"/>
      <c r="T81" s="59">
        <v>6775377.4000000004</v>
      </c>
      <c r="U81" s="25">
        <v>1002658</v>
      </c>
      <c r="V81" s="25"/>
      <c r="W81" s="25"/>
      <c r="X81" s="25" t="s">
        <v>381</v>
      </c>
      <c r="Y81" s="25"/>
      <c r="Z81" s="25"/>
      <c r="AA81" s="25"/>
      <c r="AB81" s="25">
        <f>$L$81</f>
        <v>130290</v>
      </c>
      <c r="AC81" s="25">
        <f>$L$81</f>
        <v>130290</v>
      </c>
      <c r="AD81" s="25">
        <f>$L$81</f>
        <v>130290</v>
      </c>
      <c r="AE81" s="25">
        <f>$L$81</f>
        <v>130290</v>
      </c>
      <c r="AF81" s="25">
        <f>$L$81</f>
        <v>130290</v>
      </c>
      <c r="AG81" s="25">
        <v>1563480</v>
      </c>
      <c r="AH81" s="25">
        <v>1563480</v>
      </c>
      <c r="AI81" s="25">
        <v>1563480</v>
      </c>
      <c r="AJ81" s="25">
        <v>1563480</v>
      </c>
      <c r="AK81" s="25">
        <v>1563480</v>
      </c>
      <c r="AL81" s="25">
        <v>1563480</v>
      </c>
      <c r="AM81" s="25">
        <v>1563480</v>
      </c>
      <c r="AN81" s="25">
        <v>1563480</v>
      </c>
      <c r="AO81" s="25">
        <v>1563480</v>
      </c>
      <c r="AP81" s="25">
        <v>1563480</v>
      </c>
      <c r="AQ81" s="25">
        <v>1563480</v>
      </c>
      <c r="AR81" s="25">
        <v>1563480</v>
      </c>
      <c r="AS81" s="25">
        <v>1563480</v>
      </c>
      <c r="AT81" s="25">
        <v>649699.6</v>
      </c>
      <c r="AU81" s="25"/>
      <c r="AV81" s="26" t="e">
        <f>N81+O81+P81+Q81+R81+S81+T81+#REF!+AG81+AH81+AI81+AJ81+AK81+AL81+AM81+AN81+AO81+AP81+AQ81+AR81+AS81+AT81</f>
        <v>#REF!</v>
      </c>
      <c r="AW81" s="22" t="e">
        <f t="shared" si="5"/>
        <v>#REF!</v>
      </c>
    </row>
    <row r="82" spans="1:49" s="22" customFormat="1" ht="45" x14ac:dyDescent="0.25">
      <c r="A82" s="19"/>
      <c r="B82" s="11">
        <v>77</v>
      </c>
      <c r="C82" s="29" t="s">
        <v>302</v>
      </c>
      <c r="D82" s="29" t="s">
        <v>303</v>
      </c>
      <c r="E82" s="30" t="s">
        <v>337</v>
      </c>
      <c r="F82" s="38">
        <v>17267316</v>
      </c>
      <c r="G82" s="63">
        <v>2019</v>
      </c>
      <c r="H82" s="13"/>
      <c r="I82" s="39">
        <v>16893190.82</v>
      </c>
      <c r="J82" s="16">
        <v>6114819.0700000003</v>
      </c>
      <c r="K82" s="16"/>
      <c r="L82" s="16"/>
      <c r="M82" s="17"/>
      <c r="N82" s="20">
        <v>6114819.0700000003</v>
      </c>
      <c r="O82" s="20"/>
      <c r="P82" s="20"/>
      <c r="Q82" s="20"/>
      <c r="R82" s="20"/>
      <c r="S82" s="20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32" t="e">
        <f>N82+O82+P82+Q82+R82+S82+T82+#REF!+AG82+AH82+AI82+AJ82+AK82+AL82+AM82+AN82+AO82+AP82+AQ82+AR82+AS82+AT82</f>
        <v>#REF!</v>
      </c>
      <c r="AW82" s="19" t="e">
        <f t="shared" si="5"/>
        <v>#REF!</v>
      </c>
    </row>
    <row r="83" spans="1:49" s="22" customFormat="1" ht="30" x14ac:dyDescent="0.25">
      <c r="B83" s="23">
        <v>78</v>
      </c>
      <c r="C83" s="24" t="s">
        <v>166</v>
      </c>
      <c r="D83" s="24" t="s">
        <v>167</v>
      </c>
      <c r="E83" s="27" t="s">
        <v>168</v>
      </c>
      <c r="F83" s="41">
        <v>18125202</v>
      </c>
      <c r="G83" s="52">
        <v>2020</v>
      </c>
      <c r="H83" s="27">
        <v>15</v>
      </c>
      <c r="I83" s="42">
        <v>17392450.5</v>
      </c>
      <c r="J83" s="43">
        <v>18732000</v>
      </c>
      <c r="K83" s="43">
        <v>3746400</v>
      </c>
      <c r="L83" s="43">
        <v>83260</v>
      </c>
      <c r="M83" s="44">
        <v>49640</v>
      </c>
      <c r="N83" s="44"/>
      <c r="O83" s="45">
        <v>3829260</v>
      </c>
      <c r="P83" s="45">
        <v>1083140</v>
      </c>
      <c r="Q83" s="45">
        <v>1007820</v>
      </c>
      <c r="R83" s="45">
        <v>924610</v>
      </c>
      <c r="S83" s="45">
        <v>931500</v>
      </c>
      <c r="T83" s="59">
        <v>1236000</v>
      </c>
      <c r="U83" s="25"/>
      <c r="V83" s="25">
        <v>85000</v>
      </c>
      <c r="W83" s="25">
        <v>85000</v>
      </c>
      <c r="X83" s="25" t="s">
        <v>381</v>
      </c>
      <c r="Y83" s="25">
        <v>85000</v>
      </c>
      <c r="Z83" s="25">
        <f>85000+85000</f>
        <v>170000</v>
      </c>
      <c r="AA83" s="25"/>
      <c r="AB83" s="25">
        <f>$L$83</f>
        <v>83260</v>
      </c>
      <c r="AC83" s="25">
        <f>$L$83</f>
        <v>83260</v>
      </c>
      <c r="AD83" s="25">
        <f>$L$83</f>
        <v>83260</v>
      </c>
      <c r="AE83" s="25">
        <f>$L$83</f>
        <v>83260</v>
      </c>
      <c r="AF83" s="25">
        <f>$L$83</f>
        <v>83260</v>
      </c>
      <c r="AG83" s="25">
        <v>999120</v>
      </c>
      <c r="AH83" s="25">
        <v>999120</v>
      </c>
      <c r="AI83" s="25">
        <v>999120</v>
      </c>
      <c r="AJ83" s="25">
        <v>999120</v>
      </c>
      <c r="AK83" s="25">
        <v>999120</v>
      </c>
      <c r="AL83" s="25">
        <v>999120</v>
      </c>
      <c r="AM83" s="25">
        <v>999120</v>
      </c>
      <c r="AN83" s="25">
        <v>999120</v>
      </c>
      <c r="AO83" s="25">
        <v>814330</v>
      </c>
      <c r="AP83" s="25">
        <v>0</v>
      </c>
      <c r="AQ83" s="25">
        <v>0</v>
      </c>
      <c r="AR83" s="25">
        <v>0</v>
      </c>
      <c r="AS83" s="25">
        <v>0</v>
      </c>
      <c r="AT83" s="25">
        <v>0</v>
      </c>
      <c r="AU83" s="25"/>
      <c r="AV83" s="26" t="e">
        <f>N83+O83+P83+Q83+R83+S83+T83+#REF!+AG83+AH83+AI83+AJ83+AK83+AL83+AM83+AN83+AO83+AP83+AQ83+AR83+AS83+AT83</f>
        <v>#REF!</v>
      </c>
      <c r="AW83" s="22" t="e">
        <f t="shared" si="5"/>
        <v>#REF!</v>
      </c>
    </row>
    <row r="84" spans="1:49" s="22" customFormat="1" ht="30" x14ac:dyDescent="0.25">
      <c r="B84" s="23">
        <v>79</v>
      </c>
      <c r="C84" s="27" t="s">
        <v>169</v>
      </c>
      <c r="D84" s="24" t="s">
        <v>170</v>
      </c>
      <c r="E84" s="27" t="s">
        <v>171</v>
      </c>
      <c r="F84" s="41">
        <v>13291000</v>
      </c>
      <c r="G84" s="52">
        <v>2022</v>
      </c>
      <c r="H84" s="27">
        <v>15</v>
      </c>
      <c r="I84" s="42">
        <v>13213469.189999999</v>
      </c>
      <c r="J84" s="43">
        <v>13315000</v>
      </c>
      <c r="K84" s="43">
        <v>2695000</v>
      </c>
      <c r="L84" s="43">
        <v>59000</v>
      </c>
      <c r="M84" s="44">
        <v>50052</v>
      </c>
      <c r="N84" s="44"/>
      <c r="O84" s="45"/>
      <c r="P84" s="45"/>
      <c r="Q84" s="45">
        <v>3403000</v>
      </c>
      <c r="R84" s="45">
        <v>708000</v>
      </c>
      <c r="S84" s="45">
        <v>649000</v>
      </c>
      <c r="T84" s="59">
        <v>1652000</v>
      </c>
      <c r="U84" s="25">
        <f>L84</f>
        <v>59000</v>
      </c>
      <c r="V84" s="25">
        <f>L84</f>
        <v>59000</v>
      </c>
      <c r="W84" s="25">
        <f>L84</f>
        <v>59000</v>
      </c>
      <c r="X84" s="25">
        <f>59000+2773000</f>
        <v>2832000</v>
      </c>
      <c r="Y84" s="25">
        <v>59000</v>
      </c>
      <c r="Z84" s="25">
        <f t="shared" ref="Z84:AF84" si="6">$L$84</f>
        <v>59000</v>
      </c>
      <c r="AA84" s="88">
        <f t="shared" si="6"/>
        <v>59000</v>
      </c>
      <c r="AB84" s="25">
        <f t="shared" si="6"/>
        <v>59000</v>
      </c>
      <c r="AC84" s="25">
        <f t="shared" si="6"/>
        <v>59000</v>
      </c>
      <c r="AD84" s="25">
        <f t="shared" si="6"/>
        <v>59000</v>
      </c>
      <c r="AE84" s="25">
        <f t="shared" si="6"/>
        <v>59000</v>
      </c>
      <c r="AF84" s="25">
        <f t="shared" si="6"/>
        <v>59000</v>
      </c>
      <c r="AG84" s="25">
        <v>708000</v>
      </c>
      <c r="AH84" s="25">
        <v>708000</v>
      </c>
      <c r="AI84" s="25">
        <v>708000</v>
      </c>
      <c r="AJ84" s="25">
        <v>708000</v>
      </c>
      <c r="AK84" s="25">
        <v>708000</v>
      </c>
      <c r="AL84" s="25">
        <v>708000</v>
      </c>
      <c r="AM84" s="25">
        <v>708000</v>
      </c>
      <c r="AN84" s="25">
        <v>708000</v>
      </c>
      <c r="AO84" s="25">
        <v>531000</v>
      </c>
      <c r="AP84" s="25">
        <v>0</v>
      </c>
      <c r="AQ84" s="25">
        <v>0</v>
      </c>
      <c r="AR84" s="25">
        <v>0</v>
      </c>
      <c r="AS84" s="25">
        <v>0</v>
      </c>
      <c r="AT84" s="25">
        <v>0</v>
      </c>
      <c r="AU84" s="25"/>
      <c r="AV84" s="26" t="e">
        <f>N84+O84+P84+Q84+R84+S84+T84+#REF!+AG84+AH84+AI84+AJ84+AK84+AL84+AM84+AN84+AO84+AP84+AQ84+AR84+AS84+AT84</f>
        <v>#REF!</v>
      </c>
      <c r="AW84" s="22" t="e">
        <f t="shared" si="5"/>
        <v>#REF!</v>
      </c>
    </row>
    <row r="85" spans="1:49" s="19" customFormat="1" ht="30" x14ac:dyDescent="0.25">
      <c r="A85" s="22"/>
      <c r="B85" s="23">
        <v>80</v>
      </c>
      <c r="C85" s="24" t="s">
        <v>172</v>
      </c>
      <c r="D85" s="24" t="s">
        <v>173</v>
      </c>
      <c r="E85" s="27" t="s">
        <v>174</v>
      </c>
      <c r="F85" s="41">
        <v>19060080</v>
      </c>
      <c r="G85" s="52">
        <v>2021</v>
      </c>
      <c r="H85" s="27">
        <v>15</v>
      </c>
      <c r="I85" s="42">
        <v>18152313.539999999</v>
      </c>
      <c r="J85" s="43">
        <v>19186000</v>
      </c>
      <c r="K85" s="43">
        <v>3837200</v>
      </c>
      <c r="L85" s="43">
        <v>85280</v>
      </c>
      <c r="M85" s="44">
        <v>49841</v>
      </c>
      <c r="N85" s="44"/>
      <c r="O85" s="45"/>
      <c r="P85" s="45">
        <v>4348880</v>
      </c>
      <c r="Q85" s="45">
        <v>1108640</v>
      </c>
      <c r="R85" s="45">
        <v>1108640</v>
      </c>
      <c r="S85" s="45">
        <v>938080</v>
      </c>
      <c r="T85" s="59">
        <v>1023360</v>
      </c>
      <c r="U85" s="25">
        <f>L85</f>
        <v>85280</v>
      </c>
      <c r="V85" s="25">
        <f>L85</f>
        <v>85280</v>
      </c>
      <c r="W85" s="25">
        <f>L85</f>
        <v>85280</v>
      </c>
      <c r="X85" s="25">
        <v>85280</v>
      </c>
      <c r="Y85" s="25">
        <v>85280</v>
      </c>
      <c r="Z85" s="25">
        <f>$L$85</f>
        <v>85280</v>
      </c>
      <c r="AA85" s="25"/>
      <c r="AB85" s="25">
        <f>$L$85</f>
        <v>85280</v>
      </c>
      <c r="AC85" s="25">
        <f>$L$85</f>
        <v>85280</v>
      </c>
      <c r="AD85" s="25">
        <f>$L$85</f>
        <v>85280</v>
      </c>
      <c r="AE85" s="25">
        <f>$L$85</f>
        <v>85280</v>
      </c>
      <c r="AF85" s="25">
        <f>$L$85</f>
        <v>85280</v>
      </c>
      <c r="AG85" s="25">
        <v>1023360</v>
      </c>
      <c r="AH85" s="25">
        <v>1023360</v>
      </c>
      <c r="AI85" s="25">
        <v>1023360</v>
      </c>
      <c r="AJ85" s="25">
        <v>1023360</v>
      </c>
      <c r="AK85" s="25">
        <v>1023360</v>
      </c>
      <c r="AL85" s="25">
        <v>1023360</v>
      </c>
      <c r="AM85" s="25">
        <v>1023360</v>
      </c>
      <c r="AN85" s="25">
        <v>1023360</v>
      </c>
      <c r="AO85" s="25">
        <v>1023360</v>
      </c>
      <c r="AP85" s="25">
        <v>424800</v>
      </c>
      <c r="AQ85" s="25">
        <v>0</v>
      </c>
      <c r="AR85" s="25">
        <v>0</v>
      </c>
      <c r="AS85" s="25">
        <v>0</v>
      </c>
      <c r="AT85" s="25">
        <v>0</v>
      </c>
      <c r="AU85" s="25"/>
      <c r="AV85" s="26" t="e">
        <f>N85+O85+P85+Q85+R85+S85+T85+#REF!+AG85+AH85+AI85+AJ85+AK85+AL85+AM85+AN85+AO85+AP85+AQ85+AR85+AS85+AT85</f>
        <v>#REF!</v>
      </c>
      <c r="AW85" s="22" t="e">
        <f t="shared" si="5"/>
        <v>#REF!</v>
      </c>
    </row>
    <row r="86" spans="1:49" s="19" customFormat="1" ht="30" x14ac:dyDescent="0.25">
      <c r="A86" s="22"/>
      <c r="B86" s="23">
        <v>81</v>
      </c>
      <c r="C86" s="27" t="s">
        <v>175</v>
      </c>
      <c r="D86" s="24" t="s">
        <v>176</v>
      </c>
      <c r="E86" s="27" t="s">
        <v>177</v>
      </c>
      <c r="F86" s="41">
        <v>18869289</v>
      </c>
      <c r="G86" s="52">
        <v>2022</v>
      </c>
      <c r="H86" s="27">
        <v>15</v>
      </c>
      <c r="I86" s="42">
        <v>17795948.84</v>
      </c>
      <c r="J86" s="43">
        <v>22830000</v>
      </c>
      <c r="K86" s="43">
        <v>4566000</v>
      </c>
      <c r="L86" s="43">
        <v>66660</v>
      </c>
      <c r="M86" s="44">
        <v>50123</v>
      </c>
      <c r="N86" s="44"/>
      <c r="O86" s="45"/>
      <c r="P86" s="45"/>
      <c r="Q86" s="45">
        <v>11432620</v>
      </c>
      <c r="R86" s="45">
        <v>799920</v>
      </c>
      <c r="S86" s="45">
        <v>799920</v>
      </c>
      <c r="T86" s="59">
        <v>1466600</v>
      </c>
      <c r="U86" s="25"/>
      <c r="V86" s="25"/>
      <c r="W86" s="25"/>
      <c r="X86" s="25" t="s">
        <v>381</v>
      </c>
      <c r="Y86" s="25"/>
      <c r="Z86" s="25"/>
      <c r="AA86" s="25"/>
      <c r="AB86" s="25">
        <f>$L$86</f>
        <v>66660</v>
      </c>
      <c r="AC86" s="25">
        <f>$L$86</f>
        <v>66660</v>
      </c>
      <c r="AD86" s="25">
        <f>$L$86</f>
        <v>66660</v>
      </c>
      <c r="AE86" s="25">
        <f>$L$86</f>
        <v>66660</v>
      </c>
      <c r="AF86" s="25">
        <f>$L$86</f>
        <v>66660</v>
      </c>
      <c r="AG86" s="25">
        <v>799920</v>
      </c>
      <c r="AH86" s="25">
        <v>799920</v>
      </c>
      <c r="AI86" s="25">
        <v>799920</v>
      </c>
      <c r="AJ86" s="25">
        <v>799920</v>
      </c>
      <c r="AK86" s="25">
        <v>799920</v>
      </c>
      <c r="AL86" s="25">
        <v>799920</v>
      </c>
      <c r="AM86" s="25">
        <v>799920</v>
      </c>
      <c r="AN86" s="25">
        <v>799920</v>
      </c>
      <c r="AO86" s="25">
        <v>799920</v>
      </c>
      <c r="AP86" s="25">
        <v>799920</v>
      </c>
      <c r="AQ86" s="25">
        <v>198420</v>
      </c>
      <c r="AR86" s="25">
        <v>0</v>
      </c>
      <c r="AS86" s="25">
        <v>0</v>
      </c>
      <c r="AT86" s="25">
        <v>0</v>
      </c>
      <c r="AU86" s="25"/>
      <c r="AV86" s="26" t="e">
        <f>N86+O86+P86+Q86+R86+S86+T86+#REF!+AG86+AH86+AI86+AJ86+AK86+AL86+AM86+AN86+AO86+AP86+AQ86+AR86+AS86+AT86</f>
        <v>#REF!</v>
      </c>
      <c r="AW86" s="22" t="e">
        <f t="shared" si="5"/>
        <v>#REF!</v>
      </c>
    </row>
    <row r="87" spans="1:49" s="22" customFormat="1" ht="30" x14ac:dyDescent="0.25">
      <c r="B87" s="23">
        <v>82</v>
      </c>
      <c r="C87" s="24" t="s">
        <v>178</v>
      </c>
      <c r="D87" s="62" t="s">
        <v>179</v>
      </c>
      <c r="E87" s="27" t="s">
        <v>180</v>
      </c>
      <c r="F87" s="41">
        <v>19537059</v>
      </c>
      <c r="G87" s="52">
        <v>2021</v>
      </c>
      <c r="H87" s="27">
        <v>15</v>
      </c>
      <c r="I87" s="42">
        <v>18546295.350000001</v>
      </c>
      <c r="J87" s="43">
        <v>20758000</v>
      </c>
      <c r="K87" s="43">
        <v>4151600</v>
      </c>
      <c r="L87" s="43">
        <v>92260</v>
      </c>
      <c r="M87" s="44">
        <v>49938</v>
      </c>
      <c r="N87" s="44"/>
      <c r="O87" s="45"/>
      <c r="P87" s="45">
        <v>4428380</v>
      </c>
      <c r="Q87" s="45">
        <v>1107120</v>
      </c>
      <c r="R87" s="45">
        <v>1107120</v>
      </c>
      <c r="S87" s="45">
        <v>1107600</v>
      </c>
      <c r="T87" s="25">
        <v>1017600</v>
      </c>
      <c r="U87" s="25">
        <f>L87</f>
        <v>92260</v>
      </c>
      <c r="V87" s="25">
        <f>L87</f>
        <v>92260</v>
      </c>
      <c r="W87" s="25">
        <f>L87</f>
        <v>92260</v>
      </c>
      <c r="X87" s="25">
        <f>90000+92260</f>
        <v>182260</v>
      </c>
      <c r="Y87" s="25">
        <v>40000</v>
      </c>
      <c r="Z87" s="25">
        <f>53000+92260</f>
        <v>145260</v>
      </c>
      <c r="AA87" s="25"/>
      <c r="AB87" s="25">
        <f>$L$87</f>
        <v>92260</v>
      </c>
      <c r="AC87" s="25">
        <f>$L$87</f>
        <v>92260</v>
      </c>
      <c r="AD87" s="25">
        <f>$L$87</f>
        <v>92260</v>
      </c>
      <c r="AE87" s="25">
        <f>$L$87</f>
        <v>92260</v>
      </c>
      <c r="AF87" s="25">
        <f>$L$87</f>
        <v>92260</v>
      </c>
      <c r="AG87" s="25">
        <v>1107120</v>
      </c>
      <c r="AH87" s="25">
        <v>1107120</v>
      </c>
      <c r="AI87" s="25">
        <v>1107120</v>
      </c>
      <c r="AJ87" s="25">
        <v>1107120</v>
      </c>
      <c r="AK87" s="25">
        <v>1107120</v>
      </c>
      <c r="AL87" s="25">
        <v>1107120</v>
      </c>
      <c r="AM87" s="25">
        <v>1107120</v>
      </c>
      <c r="AN87" s="25">
        <v>1107120</v>
      </c>
      <c r="AO87" s="25">
        <v>1107120</v>
      </c>
      <c r="AP87" s="25">
        <v>918980</v>
      </c>
      <c r="AQ87" s="25">
        <v>0</v>
      </c>
      <c r="AR87" s="25">
        <v>0</v>
      </c>
      <c r="AS87" s="25">
        <v>0</v>
      </c>
      <c r="AT87" s="25">
        <v>0</v>
      </c>
      <c r="AU87" s="25"/>
      <c r="AV87" s="26" t="e">
        <f>N87+O87+P87+Q87+R87+S87+T87+#REF!+AG87+AH87+AI87+AJ87+AK87+AL87+AM87+AN87+AO87+AP87+AQ87+AR87+AS87+AT87</f>
        <v>#REF!</v>
      </c>
      <c r="AW87" s="22" t="e">
        <f t="shared" si="5"/>
        <v>#REF!</v>
      </c>
    </row>
    <row r="88" spans="1:49" s="19" customFormat="1" ht="30" x14ac:dyDescent="0.25">
      <c r="B88" s="11">
        <v>83</v>
      </c>
      <c r="C88" s="30" t="s">
        <v>304</v>
      </c>
      <c r="D88" s="29" t="s">
        <v>305</v>
      </c>
      <c r="E88" s="30" t="s">
        <v>338</v>
      </c>
      <c r="F88" s="38">
        <v>25594496</v>
      </c>
      <c r="G88" s="63">
        <v>2024</v>
      </c>
      <c r="H88" s="13"/>
      <c r="I88" s="39">
        <v>23269932.850000001</v>
      </c>
      <c r="J88" s="16">
        <v>14613382.4</v>
      </c>
      <c r="K88" s="16"/>
      <c r="L88" s="16"/>
      <c r="M88" s="17"/>
      <c r="N88" s="20"/>
      <c r="O88" s="20"/>
      <c r="P88" s="20"/>
      <c r="Q88" s="20"/>
      <c r="R88" s="20"/>
      <c r="S88" s="20">
        <v>14613382.4</v>
      </c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32" t="e">
        <f>N88+O88+P88+Q88+R88+S88+T88+#REF!+AG88+AH88+AI88+AJ88+AK88+AL88+AM88+AN88+AO88+AP88+AQ88+AR88+AS88+AT88</f>
        <v>#REF!</v>
      </c>
      <c r="AW88" s="19" t="e">
        <f t="shared" si="5"/>
        <v>#REF!</v>
      </c>
    </row>
    <row r="89" spans="1:49" s="19" customFormat="1" ht="45" x14ac:dyDescent="0.25">
      <c r="B89" s="11">
        <v>84</v>
      </c>
      <c r="C89" s="29" t="s">
        <v>306</v>
      </c>
      <c r="D89" s="29" t="s">
        <v>307</v>
      </c>
      <c r="E89" s="30" t="s">
        <v>339</v>
      </c>
      <c r="F89" s="38">
        <v>17155554</v>
      </c>
      <c r="G89" s="63">
        <v>2019</v>
      </c>
      <c r="H89" s="13"/>
      <c r="I89" s="39">
        <v>16841035.510000002</v>
      </c>
      <c r="J89" s="16">
        <v>6075240.6200000001</v>
      </c>
      <c r="K89" s="16"/>
      <c r="L89" s="16"/>
      <c r="M89" s="17"/>
      <c r="N89" s="20">
        <v>6075241</v>
      </c>
      <c r="O89" s="20"/>
      <c r="P89" s="20"/>
      <c r="Q89" s="20"/>
      <c r="R89" s="20"/>
      <c r="S89" s="20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32" t="e">
        <f>N89+O89+P89+Q89+R89+S89+T89+#REF!+AG89+AH89+AI89+AJ89+AK89+AL89+AM89+AN89+AO89+AP89+AQ89+AR89+AS89+AT89</f>
        <v>#REF!</v>
      </c>
      <c r="AW89" s="19" t="e">
        <f t="shared" si="5"/>
        <v>#REF!</v>
      </c>
    </row>
    <row r="90" spans="1:49" s="19" customFormat="1" ht="30" x14ac:dyDescent="0.25">
      <c r="A90" s="22"/>
      <c r="B90" s="23">
        <v>85</v>
      </c>
      <c r="C90" s="27" t="s">
        <v>181</v>
      </c>
      <c r="D90" s="24" t="s">
        <v>182</v>
      </c>
      <c r="E90" s="27" t="s">
        <v>183</v>
      </c>
      <c r="F90" s="41">
        <v>9292531</v>
      </c>
      <c r="G90" s="52">
        <v>2023</v>
      </c>
      <c r="H90" s="27">
        <v>15</v>
      </c>
      <c r="I90" s="42">
        <v>8658815.7699999996</v>
      </c>
      <c r="J90" s="43">
        <v>16050000</v>
      </c>
      <c r="K90" s="43">
        <v>9200000</v>
      </c>
      <c r="L90" s="43">
        <v>34200</v>
      </c>
      <c r="M90" s="44">
        <v>48626</v>
      </c>
      <c r="N90" s="44"/>
      <c r="O90" s="45"/>
      <c r="P90" s="45"/>
      <c r="Q90" s="45"/>
      <c r="R90" s="45">
        <v>9770900</v>
      </c>
      <c r="S90" s="45">
        <v>2927990</v>
      </c>
      <c r="T90" s="59">
        <v>378000</v>
      </c>
      <c r="U90" s="25">
        <f>34200+36000</f>
        <v>70200</v>
      </c>
      <c r="V90" s="25">
        <v>171500</v>
      </c>
      <c r="W90" s="25"/>
      <c r="X90" s="25"/>
      <c r="Y90" s="25"/>
      <c r="Z90" s="25"/>
      <c r="AA90" s="25"/>
      <c r="AB90" s="25">
        <f>$L$90</f>
        <v>34200</v>
      </c>
      <c r="AC90" s="25">
        <f>$L$90</f>
        <v>34200</v>
      </c>
      <c r="AD90" s="25">
        <f>$L$90</f>
        <v>34200</v>
      </c>
      <c r="AE90" s="25">
        <f>$L$90</f>
        <v>34200</v>
      </c>
      <c r="AF90" s="25">
        <f>$L$90</f>
        <v>34200</v>
      </c>
      <c r="AG90" s="25">
        <v>410400</v>
      </c>
      <c r="AH90" s="25">
        <v>410400</v>
      </c>
      <c r="AI90" s="25">
        <v>410400</v>
      </c>
      <c r="AJ90" s="25">
        <v>410400</v>
      </c>
      <c r="AK90" s="25">
        <v>410400</v>
      </c>
      <c r="AL90" s="25">
        <v>410400</v>
      </c>
      <c r="AM90" s="25">
        <v>65310</v>
      </c>
      <c r="AN90" s="25">
        <v>0</v>
      </c>
      <c r="AO90" s="25">
        <v>0</v>
      </c>
      <c r="AP90" s="25">
        <v>0</v>
      </c>
      <c r="AQ90" s="25">
        <v>0</v>
      </c>
      <c r="AR90" s="25">
        <v>0</v>
      </c>
      <c r="AS90" s="25">
        <v>0</v>
      </c>
      <c r="AT90" s="25">
        <v>0</v>
      </c>
      <c r="AU90" s="25"/>
      <c r="AV90" s="26" t="e">
        <f>N90+O90+P90+Q90+R90+S90+T90+#REF!+AG90+AH90+AI90+AJ90+AK90+AL90+AM90+AN90+AO90+AP90+AQ90+AR90+AS90+AT90</f>
        <v>#REF!</v>
      </c>
      <c r="AW90" s="22" t="e">
        <f t="shared" si="5"/>
        <v>#REF!</v>
      </c>
    </row>
    <row r="91" spans="1:49" s="22" customFormat="1" ht="30" x14ac:dyDescent="0.25">
      <c r="B91" s="23">
        <v>86</v>
      </c>
      <c r="C91" s="57" t="s">
        <v>373</v>
      </c>
      <c r="D91" s="79" t="s">
        <v>372</v>
      </c>
      <c r="E91" s="80" t="s">
        <v>374</v>
      </c>
      <c r="F91" s="70">
        <v>14058151</v>
      </c>
      <c r="G91" s="52">
        <v>2026</v>
      </c>
      <c r="H91" s="27">
        <v>15</v>
      </c>
      <c r="I91" s="74">
        <v>12731314.01</v>
      </c>
      <c r="J91" s="43">
        <v>24932000</v>
      </c>
      <c r="K91" s="43">
        <v>4986400</v>
      </c>
      <c r="L91" s="43">
        <v>110810</v>
      </c>
      <c r="M91" s="44"/>
      <c r="N91" s="45"/>
      <c r="O91" s="45"/>
      <c r="P91" s="45"/>
      <c r="Q91" s="45"/>
      <c r="R91" s="45"/>
      <c r="S91" s="45"/>
      <c r="T91" s="25"/>
      <c r="U91" s="25">
        <v>4986400</v>
      </c>
      <c r="V91" s="25">
        <f>L91</f>
        <v>110810</v>
      </c>
      <c r="W91" s="25">
        <f>L91</f>
        <v>110810</v>
      </c>
      <c r="X91" s="25">
        <v>110810</v>
      </c>
      <c r="Y91" s="25">
        <v>110810</v>
      </c>
      <c r="Z91" s="25">
        <f>$L$91</f>
        <v>110810</v>
      </c>
      <c r="AA91" s="25"/>
      <c r="AB91" s="25">
        <f>$L$91</f>
        <v>110810</v>
      </c>
      <c r="AC91" s="25">
        <f>$L$91</f>
        <v>110810</v>
      </c>
      <c r="AD91" s="25">
        <f>$L$91</f>
        <v>110810</v>
      </c>
      <c r="AE91" s="25">
        <f>$L$91</f>
        <v>110810</v>
      </c>
      <c r="AF91" s="25">
        <f>$L$91</f>
        <v>110810</v>
      </c>
      <c r="AG91" s="25">
        <v>1329720</v>
      </c>
      <c r="AH91" s="25">
        <v>1329720</v>
      </c>
      <c r="AI91" s="25">
        <v>1329720</v>
      </c>
      <c r="AJ91" s="25">
        <v>1329720</v>
      </c>
      <c r="AK91" s="25">
        <v>1329720</v>
      </c>
      <c r="AL91" s="25">
        <v>1329720</v>
      </c>
      <c r="AM91" s="25">
        <v>1329720</v>
      </c>
      <c r="AN91" s="25">
        <v>1329720</v>
      </c>
      <c r="AO91" s="25">
        <v>1329720</v>
      </c>
      <c r="AP91" s="25">
        <v>1329720</v>
      </c>
      <c r="AQ91" s="25">
        <v>1329720</v>
      </c>
      <c r="AR91" s="25">
        <v>1329720</v>
      </c>
      <c r="AS91" s="25">
        <v>1329720</v>
      </c>
      <c r="AT91" s="25">
        <v>1329720</v>
      </c>
      <c r="AU91" s="25">
        <v>110610</v>
      </c>
      <c r="AV91" s="26" t="e">
        <f>N91+O91+P91+Q91+R91+S91+T91+#REF!+AG91+AH91+AI91+AJ91+AK91+AL91+AM91+AN91+AO91+AP91+AQ91+AR91+AS91+AT91+AU91</f>
        <v>#REF!</v>
      </c>
    </row>
    <row r="92" spans="1:49" s="19" customFormat="1" ht="45" x14ac:dyDescent="0.25">
      <c r="B92" s="11">
        <v>87</v>
      </c>
      <c r="C92" s="29" t="s">
        <v>308</v>
      </c>
      <c r="D92" s="29" t="s">
        <v>309</v>
      </c>
      <c r="E92" s="30" t="s">
        <v>340</v>
      </c>
      <c r="F92" s="38">
        <v>27677654</v>
      </c>
      <c r="G92" s="63">
        <v>2019</v>
      </c>
      <c r="H92" s="13"/>
      <c r="I92" s="39">
        <v>27170230.379999999</v>
      </c>
      <c r="J92" s="16">
        <v>9726322.4800000004</v>
      </c>
      <c r="K92" s="16"/>
      <c r="L92" s="16"/>
      <c r="M92" s="17"/>
      <c r="N92" s="20">
        <v>9726322.4800000004</v>
      </c>
      <c r="O92" s="20"/>
      <c r="P92" s="20"/>
      <c r="Q92" s="20"/>
      <c r="R92" s="20"/>
      <c r="S92" s="20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32" t="e">
        <f>N92+O92+P92+Q92+R92+S92+T92+#REF!+AG92+AH92+AI92+AJ92+AK92+AL92+AM92+AN92+AO92+AP92+AQ92+AR92+AS92+AT92</f>
        <v>#REF!</v>
      </c>
      <c r="AW92" s="19" t="e">
        <f t="shared" ref="AW92:AW102" si="7">J92=AV92</f>
        <v>#REF!</v>
      </c>
    </row>
    <row r="93" spans="1:49" s="22" customFormat="1" ht="30" x14ac:dyDescent="0.25">
      <c r="B93" s="23">
        <v>88</v>
      </c>
      <c r="C93" s="24" t="s">
        <v>184</v>
      </c>
      <c r="D93" s="33" t="s">
        <v>185</v>
      </c>
      <c r="E93" s="27" t="s">
        <v>186</v>
      </c>
      <c r="F93" s="41">
        <v>19106647</v>
      </c>
      <c r="G93" s="52">
        <v>2021</v>
      </c>
      <c r="H93" s="27">
        <v>15</v>
      </c>
      <c r="I93" s="42">
        <v>18216313.629999999</v>
      </c>
      <c r="J93" s="43">
        <v>21492000</v>
      </c>
      <c r="K93" s="43">
        <v>4298400</v>
      </c>
      <c r="L93" s="43">
        <v>83680</v>
      </c>
      <c r="M93" s="44">
        <v>49822</v>
      </c>
      <c r="N93" s="44"/>
      <c r="O93" s="45"/>
      <c r="P93" s="45">
        <v>4967040</v>
      </c>
      <c r="Q93" s="45">
        <v>1146240</v>
      </c>
      <c r="R93" s="45">
        <v>1241760</v>
      </c>
      <c r="S93" s="45">
        <v>1050720</v>
      </c>
      <c r="T93" s="25">
        <v>2627040</v>
      </c>
      <c r="U93" s="25">
        <f>L93</f>
        <v>83680</v>
      </c>
      <c r="V93" s="25">
        <f>L93</f>
        <v>83680</v>
      </c>
      <c r="W93" s="25">
        <f>L93</f>
        <v>83680</v>
      </c>
      <c r="X93" s="25">
        <v>83680</v>
      </c>
      <c r="Y93" s="25">
        <v>83680</v>
      </c>
      <c r="Z93" s="25">
        <f t="shared" ref="Z93:AF93" si="8">$L$93</f>
        <v>83680</v>
      </c>
      <c r="AA93" s="88">
        <f t="shared" si="8"/>
        <v>83680</v>
      </c>
      <c r="AB93" s="25">
        <f t="shared" si="8"/>
        <v>83680</v>
      </c>
      <c r="AC93" s="25">
        <f t="shared" si="8"/>
        <v>83680</v>
      </c>
      <c r="AD93" s="25">
        <f t="shared" si="8"/>
        <v>83680</v>
      </c>
      <c r="AE93" s="25">
        <f t="shared" si="8"/>
        <v>83680</v>
      </c>
      <c r="AF93" s="25">
        <f t="shared" si="8"/>
        <v>83680</v>
      </c>
      <c r="AG93" s="25">
        <v>1004160</v>
      </c>
      <c r="AH93" s="25">
        <v>1004160</v>
      </c>
      <c r="AI93" s="25">
        <v>1004160</v>
      </c>
      <c r="AJ93" s="25">
        <v>1004160</v>
      </c>
      <c r="AK93" s="25">
        <v>1004160</v>
      </c>
      <c r="AL93" s="25">
        <v>1004160</v>
      </c>
      <c r="AM93" s="25">
        <v>1004160</v>
      </c>
      <c r="AN93" s="25">
        <v>1004160</v>
      </c>
      <c r="AO93" s="25">
        <v>1004160</v>
      </c>
      <c r="AP93" s="25">
        <v>417600</v>
      </c>
      <c r="AQ93" s="25">
        <v>0</v>
      </c>
      <c r="AR93" s="25">
        <v>0</v>
      </c>
      <c r="AS93" s="25">
        <v>0</v>
      </c>
      <c r="AT93" s="25">
        <v>0</v>
      </c>
      <c r="AU93" s="25"/>
      <c r="AV93" s="26" t="e">
        <f>N93+O93+P93+Q93+R93+S93+T93+#REF!+AG93+AH93+AI93+AJ93+AK93+AL93+AM93+AN93+AO93+AP93+AQ93+AR93+AS93+AT93</f>
        <v>#REF!</v>
      </c>
      <c r="AW93" s="22" t="e">
        <f t="shared" si="7"/>
        <v>#REF!</v>
      </c>
    </row>
    <row r="94" spans="1:49" s="19" customFormat="1" ht="45" x14ac:dyDescent="0.25">
      <c r="B94" s="11">
        <v>89</v>
      </c>
      <c r="C94" s="29" t="s">
        <v>310</v>
      </c>
      <c r="D94" s="29" t="s">
        <v>311</v>
      </c>
      <c r="E94" s="30" t="s">
        <v>341</v>
      </c>
      <c r="F94" s="38">
        <v>27508716</v>
      </c>
      <c r="G94" s="63">
        <v>2019</v>
      </c>
      <c r="H94" s="13"/>
      <c r="I94" s="39">
        <v>27004389.539999999</v>
      </c>
      <c r="J94" s="16">
        <v>9666955.2200000007</v>
      </c>
      <c r="K94" s="16"/>
      <c r="L94" s="16"/>
      <c r="M94" s="17"/>
      <c r="N94" s="20">
        <v>5411960</v>
      </c>
      <c r="O94" s="20">
        <v>963360</v>
      </c>
      <c r="P94" s="20">
        <v>3291636</v>
      </c>
      <c r="Q94" s="20"/>
      <c r="R94" s="20"/>
      <c r="S94" s="20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32" t="e">
        <f>N94+O94+P94+Q94+R94+S94+T94+#REF!+AG94+AH94+AI94+AJ94+AK94+AL94+AM94+AN94+AO94+AP94+AQ94+AR94+AS94+AT94</f>
        <v>#REF!</v>
      </c>
      <c r="AW94" s="19" t="e">
        <f t="shared" si="7"/>
        <v>#REF!</v>
      </c>
    </row>
    <row r="95" spans="1:49" s="22" customFormat="1" ht="30" x14ac:dyDescent="0.25">
      <c r="B95" s="23">
        <v>90</v>
      </c>
      <c r="C95" s="24" t="s">
        <v>187</v>
      </c>
      <c r="D95" s="24" t="s">
        <v>188</v>
      </c>
      <c r="E95" s="27" t="s">
        <v>189</v>
      </c>
      <c r="F95" s="41">
        <v>21498029</v>
      </c>
      <c r="G95" s="52">
        <v>2021</v>
      </c>
      <c r="H95" s="27">
        <v>15</v>
      </c>
      <c r="I95" s="42">
        <v>20407820.5</v>
      </c>
      <c r="J95" s="43">
        <v>20616000</v>
      </c>
      <c r="K95" s="43">
        <v>4123200</v>
      </c>
      <c r="L95" s="43">
        <v>64050</v>
      </c>
      <c r="M95" s="44">
        <v>49947</v>
      </c>
      <c r="N95" s="44"/>
      <c r="O95" s="45"/>
      <c r="P95" s="45">
        <v>4398090</v>
      </c>
      <c r="Q95" s="45">
        <v>5651247</v>
      </c>
      <c r="R95" s="45">
        <v>768600</v>
      </c>
      <c r="S95" s="45">
        <v>768600</v>
      </c>
      <c r="T95" s="25">
        <v>771550</v>
      </c>
      <c r="U95" s="25"/>
      <c r="V95" s="25">
        <v>128100</v>
      </c>
      <c r="W95" s="25">
        <f>L95</f>
        <v>64050</v>
      </c>
      <c r="X95" s="25">
        <v>64050</v>
      </c>
      <c r="Y95" s="25">
        <v>64050</v>
      </c>
      <c r="Z95" s="25"/>
      <c r="AA95" s="88">
        <f t="shared" ref="AA95:AF95" si="9">$L$95</f>
        <v>64050</v>
      </c>
      <c r="AB95" s="25">
        <f t="shared" si="9"/>
        <v>64050</v>
      </c>
      <c r="AC95" s="25">
        <f t="shared" si="9"/>
        <v>64050</v>
      </c>
      <c r="AD95" s="25">
        <f t="shared" si="9"/>
        <v>64050</v>
      </c>
      <c r="AE95" s="25">
        <f t="shared" si="9"/>
        <v>64050</v>
      </c>
      <c r="AF95" s="25">
        <f t="shared" si="9"/>
        <v>64050</v>
      </c>
      <c r="AG95" s="25">
        <v>768600</v>
      </c>
      <c r="AH95" s="25">
        <v>768600</v>
      </c>
      <c r="AI95" s="25">
        <v>768600</v>
      </c>
      <c r="AJ95" s="25">
        <v>768600</v>
      </c>
      <c r="AK95" s="25">
        <v>768600</v>
      </c>
      <c r="AL95" s="25">
        <v>768600</v>
      </c>
      <c r="AM95" s="25">
        <v>768600</v>
      </c>
      <c r="AN95" s="25">
        <v>768600</v>
      </c>
      <c r="AO95" s="25">
        <v>768600</v>
      </c>
      <c r="AP95" s="25">
        <v>572863</v>
      </c>
      <c r="AQ95" s="25">
        <v>0</v>
      </c>
      <c r="AR95" s="25">
        <v>0</v>
      </c>
      <c r="AS95" s="25">
        <v>0</v>
      </c>
      <c r="AT95" s="25">
        <v>0</v>
      </c>
      <c r="AU95" s="25"/>
      <c r="AV95" s="26" t="e">
        <f>N95+O95+P95+Q95+R95+S95+T95+#REF!+AG95+AH95+AI95+AJ95+AK95+AL95+AM95+AN95+AO95+AP95+AQ95+AR95+AS95+AT95</f>
        <v>#REF!</v>
      </c>
      <c r="AW95" s="22" t="e">
        <f t="shared" si="7"/>
        <v>#REF!</v>
      </c>
    </row>
    <row r="96" spans="1:49" s="19" customFormat="1" ht="30" x14ac:dyDescent="0.25">
      <c r="B96" s="11">
        <v>91</v>
      </c>
      <c r="C96" s="58" t="s">
        <v>190</v>
      </c>
      <c r="D96" s="12" t="s">
        <v>191</v>
      </c>
      <c r="E96" s="48" t="s">
        <v>352</v>
      </c>
      <c r="F96" s="14">
        <v>13463546</v>
      </c>
      <c r="G96" s="63">
        <v>2021</v>
      </c>
      <c r="H96" s="13">
        <v>15</v>
      </c>
      <c r="I96" s="15">
        <v>12819678.4</v>
      </c>
      <c r="J96" s="16">
        <v>14316000</v>
      </c>
      <c r="K96" s="16">
        <v>2863200</v>
      </c>
      <c r="L96" s="16">
        <v>42820</v>
      </c>
      <c r="M96" s="17">
        <v>49937</v>
      </c>
      <c r="N96" s="17"/>
      <c r="O96" s="20"/>
      <c r="P96" s="20">
        <v>3054090</v>
      </c>
      <c r="Q96" s="20">
        <v>4197080</v>
      </c>
      <c r="R96" s="20">
        <v>513840</v>
      </c>
      <c r="S96" s="20">
        <v>513840</v>
      </c>
      <c r="T96" s="59">
        <v>6037263</v>
      </c>
      <c r="U96" s="65"/>
      <c r="V96" s="65"/>
      <c r="W96" s="65"/>
      <c r="X96" s="18"/>
      <c r="Y96" s="18"/>
      <c r="Z96" s="18"/>
      <c r="AA96" s="18"/>
      <c r="AB96" s="18"/>
      <c r="AC96" s="18"/>
      <c r="AD96" s="18"/>
      <c r="AE96" s="18"/>
      <c r="AF96" s="18"/>
      <c r="AG96" s="18">
        <v>0</v>
      </c>
      <c r="AH96" s="18">
        <v>0</v>
      </c>
      <c r="AI96" s="18">
        <v>0</v>
      </c>
      <c r="AJ96" s="18">
        <v>0</v>
      </c>
      <c r="AK96" s="18">
        <v>0</v>
      </c>
      <c r="AL96" s="18">
        <v>0</v>
      </c>
      <c r="AM96" s="18">
        <v>0</v>
      </c>
      <c r="AN96" s="18">
        <v>0</v>
      </c>
      <c r="AO96" s="18">
        <v>0</v>
      </c>
      <c r="AP96" s="18">
        <v>0</v>
      </c>
      <c r="AQ96" s="18">
        <v>0</v>
      </c>
      <c r="AR96" s="18">
        <v>0</v>
      </c>
      <c r="AS96" s="18">
        <v>0</v>
      </c>
      <c r="AT96" s="18">
        <v>0</v>
      </c>
      <c r="AU96" s="18"/>
      <c r="AV96" s="32" t="e">
        <f>N96+O96+P96+Q96+R96+S96+T96+#REF!+AG96+AH96+AI96+AJ96+AK96+AL96+AM96+AN96+AO96+AP96+AQ96+AR96+AS96+AT96</f>
        <v>#REF!</v>
      </c>
      <c r="AW96" s="19" t="e">
        <f t="shared" si="7"/>
        <v>#REF!</v>
      </c>
    </row>
    <row r="97" spans="2:49" s="22" customFormat="1" ht="30" x14ac:dyDescent="0.25">
      <c r="B97" s="23">
        <v>92</v>
      </c>
      <c r="C97" s="24" t="s">
        <v>192</v>
      </c>
      <c r="D97" s="24" t="s">
        <v>193</v>
      </c>
      <c r="E97" s="27" t="s">
        <v>194</v>
      </c>
      <c r="F97" s="41">
        <v>23630292</v>
      </c>
      <c r="G97" s="52">
        <v>2021</v>
      </c>
      <c r="H97" s="27">
        <v>15</v>
      </c>
      <c r="I97" s="42">
        <v>20725236.73</v>
      </c>
      <c r="J97" s="43">
        <v>24403000</v>
      </c>
      <c r="K97" s="43">
        <v>4880600</v>
      </c>
      <c r="L97" s="43">
        <v>108460</v>
      </c>
      <c r="M97" s="44">
        <v>49752</v>
      </c>
      <c r="N97" s="44"/>
      <c r="O97" s="45"/>
      <c r="P97" s="45">
        <v>5856740</v>
      </c>
      <c r="Q97" s="45">
        <v>1301520</v>
      </c>
      <c r="R97" s="45">
        <v>1301520</v>
      </c>
      <c r="S97" s="45">
        <v>1301460</v>
      </c>
      <c r="T97" s="25">
        <v>1301520</v>
      </c>
      <c r="U97" s="25">
        <f>L97</f>
        <v>108460</v>
      </c>
      <c r="V97" s="25">
        <f>L97</f>
        <v>108460</v>
      </c>
      <c r="W97" s="25">
        <f>L97</f>
        <v>108460</v>
      </c>
      <c r="X97" s="25">
        <v>108460</v>
      </c>
      <c r="Y97" s="25">
        <v>108460</v>
      </c>
      <c r="Z97" s="25">
        <f>108460+108460</f>
        <v>216920</v>
      </c>
      <c r="AA97" s="25"/>
      <c r="AB97" s="25">
        <f>$L$97</f>
        <v>108460</v>
      </c>
      <c r="AC97" s="25">
        <f>$L$97</f>
        <v>108460</v>
      </c>
      <c r="AD97" s="25">
        <f>$L$97</f>
        <v>108460</v>
      </c>
      <c r="AE97" s="25">
        <f>$L$97</f>
        <v>108460</v>
      </c>
      <c r="AF97" s="25">
        <f>$L$97</f>
        <v>108460</v>
      </c>
      <c r="AG97" s="25">
        <v>1301520</v>
      </c>
      <c r="AH97" s="25">
        <v>1301520</v>
      </c>
      <c r="AI97" s="25">
        <v>1301520</v>
      </c>
      <c r="AJ97" s="25">
        <v>1301520</v>
      </c>
      <c r="AK97" s="25">
        <v>1301520</v>
      </c>
      <c r="AL97" s="25">
        <v>1301520</v>
      </c>
      <c r="AM97" s="25">
        <v>1301520</v>
      </c>
      <c r="AN97" s="25">
        <v>1301520</v>
      </c>
      <c r="AO97" s="25">
        <v>1301520</v>
      </c>
      <c r="AP97" s="25">
        <v>325040</v>
      </c>
      <c r="AQ97" s="25">
        <v>0</v>
      </c>
      <c r="AR97" s="25">
        <v>0</v>
      </c>
      <c r="AS97" s="25">
        <v>0</v>
      </c>
      <c r="AT97" s="25">
        <v>0</v>
      </c>
      <c r="AU97" s="25"/>
      <c r="AV97" s="26" t="e">
        <f>N97+O97+P97+Q97+R97+S97+T97+#REF!+AG97+AH97+AI97+AJ97+AK97+AL97+AM97+AN97+AO97+AP97+AQ97+AR97+AS97+AT97</f>
        <v>#REF!</v>
      </c>
      <c r="AW97" s="22" t="e">
        <f t="shared" si="7"/>
        <v>#REF!</v>
      </c>
    </row>
    <row r="98" spans="2:49" s="19" customFormat="1" ht="30" x14ac:dyDescent="0.25">
      <c r="B98" s="11">
        <v>93</v>
      </c>
      <c r="C98" s="12" t="s">
        <v>195</v>
      </c>
      <c r="D98" s="12" t="s">
        <v>196</v>
      </c>
      <c r="E98" s="64" t="s">
        <v>378</v>
      </c>
      <c r="F98" s="14">
        <v>20900427</v>
      </c>
      <c r="G98" s="63">
        <v>2021</v>
      </c>
      <c r="H98" s="13">
        <v>15</v>
      </c>
      <c r="I98" s="15">
        <v>19905011.219999999</v>
      </c>
      <c r="J98" s="16">
        <v>20711000</v>
      </c>
      <c r="K98" s="16">
        <v>10355500</v>
      </c>
      <c r="L98" s="16">
        <v>57540</v>
      </c>
      <c r="M98" s="17">
        <v>49840</v>
      </c>
      <c r="N98" s="17"/>
      <c r="O98" s="20"/>
      <c r="P98" s="20">
        <v>10700740</v>
      </c>
      <c r="Q98" s="20">
        <v>690480</v>
      </c>
      <c r="R98" s="20">
        <v>690480</v>
      </c>
      <c r="S98" s="20">
        <v>690480</v>
      </c>
      <c r="T98" s="18">
        <v>692940</v>
      </c>
      <c r="U98" s="18">
        <f>L98</f>
        <v>57540</v>
      </c>
      <c r="V98" s="18">
        <v>57640</v>
      </c>
      <c r="W98" s="18">
        <v>7130700</v>
      </c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>
        <v>0</v>
      </c>
      <c r="AR98" s="18">
        <v>0</v>
      </c>
      <c r="AS98" s="18">
        <v>0</v>
      </c>
      <c r="AT98" s="18">
        <v>0</v>
      </c>
      <c r="AU98" s="18"/>
      <c r="AV98" s="32" t="e">
        <f>N98+O98+P98+Q98+R98+S98+T98+#REF!+AG98+AH98+AI98+AJ98+AK98+AL98+AM98+AN98+AO98+AP98+AQ98+AR98+AS98+AT98</f>
        <v>#REF!</v>
      </c>
      <c r="AW98" s="19" t="e">
        <f t="shared" si="7"/>
        <v>#REF!</v>
      </c>
    </row>
    <row r="99" spans="2:49" s="19" customFormat="1" ht="30" x14ac:dyDescent="0.25">
      <c r="B99" s="11">
        <v>94</v>
      </c>
      <c r="C99" s="30" t="s">
        <v>312</v>
      </c>
      <c r="D99" s="29" t="s">
        <v>313</v>
      </c>
      <c r="E99" s="30" t="s">
        <v>342</v>
      </c>
      <c r="F99" s="38">
        <v>17414792</v>
      </c>
      <c r="G99" s="63">
        <v>2022</v>
      </c>
      <c r="H99" s="13"/>
      <c r="I99" s="39">
        <v>15119235.529999999</v>
      </c>
      <c r="J99" s="16">
        <v>18116000</v>
      </c>
      <c r="K99" s="16"/>
      <c r="L99" s="16"/>
      <c r="M99" s="17"/>
      <c r="N99" s="20"/>
      <c r="O99" s="20"/>
      <c r="P99" s="20"/>
      <c r="Q99" s="20">
        <v>18116000</v>
      </c>
      <c r="R99" s="20"/>
      <c r="S99" s="20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32" t="e">
        <f>N99+O99+P99+Q99+R99+S99+T99+#REF!+AG99+AH99+AI99+AJ99+AK99+AL99+AM99+AN99+AO99+AP99+AQ99+AR99+AS99+AT99</f>
        <v>#REF!</v>
      </c>
      <c r="AW99" s="19" t="e">
        <f t="shared" si="7"/>
        <v>#REF!</v>
      </c>
    </row>
    <row r="100" spans="2:49" s="22" customFormat="1" ht="30" x14ac:dyDescent="0.25">
      <c r="B100" s="23">
        <v>95</v>
      </c>
      <c r="C100" s="24" t="s">
        <v>197</v>
      </c>
      <c r="D100" s="24" t="s">
        <v>198</v>
      </c>
      <c r="E100" s="27" t="s">
        <v>199</v>
      </c>
      <c r="F100" s="41">
        <v>20739812</v>
      </c>
      <c r="G100" s="52">
        <v>2021</v>
      </c>
      <c r="H100" s="27">
        <v>15</v>
      </c>
      <c r="I100" s="42">
        <v>18092864.66</v>
      </c>
      <c r="J100" s="43">
        <v>20710000</v>
      </c>
      <c r="K100" s="43">
        <v>4142000</v>
      </c>
      <c r="L100" s="43">
        <v>92050</v>
      </c>
      <c r="M100" s="44">
        <v>50002</v>
      </c>
      <c r="N100" s="44"/>
      <c r="O100" s="45"/>
      <c r="P100" s="45">
        <v>4234050</v>
      </c>
      <c r="Q100" s="45">
        <v>1104600</v>
      </c>
      <c r="R100" s="45">
        <v>1104600</v>
      </c>
      <c r="S100" s="45">
        <v>2060507</v>
      </c>
      <c r="T100" s="25">
        <v>3196650</v>
      </c>
      <c r="U100" s="25">
        <f>L100</f>
        <v>92050</v>
      </c>
      <c r="V100" s="25">
        <f>L100</f>
        <v>92050</v>
      </c>
      <c r="W100" s="25">
        <f>L100</f>
        <v>92050</v>
      </c>
      <c r="X100" s="25">
        <v>92050</v>
      </c>
      <c r="Y100" s="25">
        <v>92050</v>
      </c>
      <c r="Z100" s="25">
        <f>$L$100</f>
        <v>92050</v>
      </c>
      <c r="AA100" s="25"/>
      <c r="AB100" s="25">
        <f>$L$100</f>
        <v>92050</v>
      </c>
      <c r="AC100" s="25">
        <f>$L$100</f>
        <v>92050</v>
      </c>
      <c r="AD100" s="25">
        <f>$L$100</f>
        <v>92050</v>
      </c>
      <c r="AE100" s="25">
        <f>$L$100</f>
        <v>92050</v>
      </c>
      <c r="AF100" s="25">
        <f>$L$100</f>
        <v>92050</v>
      </c>
      <c r="AG100" s="25">
        <v>1104600</v>
      </c>
      <c r="AH100" s="25">
        <v>1104600</v>
      </c>
      <c r="AI100" s="25">
        <v>1104600</v>
      </c>
      <c r="AJ100" s="25">
        <v>1104600</v>
      </c>
      <c r="AK100" s="25">
        <v>1104600</v>
      </c>
      <c r="AL100" s="25">
        <v>1104600</v>
      </c>
      <c r="AM100" s="25">
        <v>1104600</v>
      </c>
      <c r="AN100" s="25">
        <v>172793</v>
      </c>
      <c r="AO100" s="25">
        <v>0</v>
      </c>
      <c r="AP100" s="25">
        <v>0</v>
      </c>
      <c r="AQ100" s="25">
        <v>0</v>
      </c>
      <c r="AR100" s="25">
        <v>0</v>
      </c>
      <c r="AS100" s="25">
        <v>0</v>
      </c>
      <c r="AT100" s="25">
        <v>0</v>
      </c>
      <c r="AU100" s="25"/>
      <c r="AV100" s="26" t="e">
        <f>N100+O100+P100+Q100+R100+S100+T100+#REF!+AG100+AH100+AI100+AJ100+AK100+AL100+AM100+AN100+AO100+AP100+AQ100+AR100+AS100+AT100</f>
        <v>#REF!</v>
      </c>
      <c r="AW100" s="22" t="e">
        <f t="shared" si="7"/>
        <v>#REF!</v>
      </c>
    </row>
    <row r="101" spans="2:49" s="22" customFormat="1" ht="30" x14ac:dyDescent="0.25">
      <c r="B101" s="23">
        <v>96</v>
      </c>
      <c r="C101" s="24" t="s">
        <v>200</v>
      </c>
      <c r="D101" s="24" t="s">
        <v>201</v>
      </c>
      <c r="E101" s="27" t="s">
        <v>202</v>
      </c>
      <c r="F101" s="41">
        <v>18621260</v>
      </c>
      <c r="G101" s="52">
        <v>2021</v>
      </c>
      <c r="H101" s="27">
        <v>15</v>
      </c>
      <c r="I101" s="42">
        <v>17657786.690000001</v>
      </c>
      <c r="J101" s="43">
        <v>18809000</v>
      </c>
      <c r="K101" s="43">
        <v>3761800</v>
      </c>
      <c r="L101" s="43">
        <v>83600</v>
      </c>
      <c r="M101" s="44">
        <v>49956</v>
      </c>
      <c r="N101" s="44"/>
      <c r="O101" s="45"/>
      <c r="P101" s="45">
        <v>3929000</v>
      </c>
      <c r="Q101" s="45">
        <v>1152400</v>
      </c>
      <c r="R101" s="45">
        <v>1003200</v>
      </c>
      <c r="S101" s="45">
        <v>919600</v>
      </c>
      <c r="T101" s="25">
        <v>1086800</v>
      </c>
      <c r="U101" s="25"/>
      <c r="V101" s="25">
        <f>L101</f>
        <v>83600</v>
      </c>
      <c r="W101" s="25">
        <f>L101</f>
        <v>83600</v>
      </c>
      <c r="X101" s="25">
        <v>83600</v>
      </c>
      <c r="Y101" s="25">
        <v>83600</v>
      </c>
      <c r="Z101" s="25">
        <f>$L$101</f>
        <v>83600</v>
      </c>
      <c r="AA101" s="88">
        <v>83600</v>
      </c>
      <c r="AB101" s="25">
        <f>$L$101</f>
        <v>83600</v>
      </c>
      <c r="AC101" s="25">
        <f>$L$101</f>
        <v>83600</v>
      </c>
      <c r="AD101" s="25">
        <f>$L$101</f>
        <v>83600</v>
      </c>
      <c r="AE101" s="25">
        <f>$L$101</f>
        <v>83600</v>
      </c>
      <c r="AF101" s="25">
        <f>$L$101</f>
        <v>83600</v>
      </c>
      <c r="AG101" s="25">
        <v>1003200</v>
      </c>
      <c r="AH101" s="25">
        <v>1003200</v>
      </c>
      <c r="AI101" s="25">
        <v>1003200</v>
      </c>
      <c r="AJ101" s="25">
        <v>1003200</v>
      </c>
      <c r="AK101" s="25">
        <v>1003200</v>
      </c>
      <c r="AL101" s="25">
        <v>1003200</v>
      </c>
      <c r="AM101" s="25">
        <v>1003200</v>
      </c>
      <c r="AN101" s="25">
        <v>1003200</v>
      </c>
      <c r="AO101" s="25">
        <v>1003200</v>
      </c>
      <c r="AP101" s="25">
        <v>769600</v>
      </c>
      <c r="AQ101" s="25">
        <v>0</v>
      </c>
      <c r="AR101" s="25">
        <v>0</v>
      </c>
      <c r="AS101" s="25">
        <v>0</v>
      </c>
      <c r="AT101" s="25">
        <v>0</v>
      </c>
      <c r="AU101" s="25"/>
      <c r="AV101" s="26" t="e">
        <f>N101+O101+P101+Q101+R101+S101+T101+#REF!+AG101+AH101+AI101+AJ101+AK101+AL101+AM101+AN101+AO101+AP101+AQ101+AR101+AS101+AT101</f>
        <v>#REF!</v>
      </c>
      <c r="AW101" s="22" t="e">
        <f t="shared" si="7"/>
        <v>#REF!</v>
      </c>
    </row>
    <row r="102" spans="2:49" s="22" customFormat="1" ht="45" x14ac:dyDescent="0.25">
      <c r="B102" s="23">
        <v>97</v>
      </c>
      <c r="C102" s="27" t="s">
        <v>203</v>
      </c>
      <c r="D102" s="24" t="s">
        <v>204</v>
      </c>
      <c r="E102" s="27" t="s">
        <v>205</v>
      </c>
      <c r="F102" s="41">
        <v>25193444</v>
      </c>
      <c r="G102" s="52">
        <v>2025</v>
      </c>
      <c r="H102" s="27">
        <v>15</v>
      </c>
      <c r="I102" s="42">
        <v>20906971.039999999</v>
      </c>
      <c r="J102" s="43">
        <v>32785174</v>
      </c>
      <c r="K102" s="43">
        <v>6557035</v>
      </c>
      <c r="L102" s="43">
        <v>145720</v>
      </c>
      <c r="M102" s="44">
        <v>51275</v>
      </c>
      <c r="N102" s="44"/>
      <c r="O102" s="45"/>
      <c r="P102" s="45"/>
      <c r="Q102" s="45"/>
      <c r="R102" s="45"/>
      <c r="S102" s="45"/>
      <c r="T102" s="25">
        <v>7577075</v>
      </c>
      <c r="U102" s="25">
        <f>L102</f>
        <v>145720</v>
      </c>
      <c r="V102" s="25">
        <f>L102</f>
        <v>145720</v>
      </c>
      <c r="W102" s="25">
        <f>L102</f>
        <v>145720</v>
      </c>
      <c r="X102" s="25">
        <v>145720</v>
      </c>
      <c r="Y102" s="25">
        <v>145720</v>
      </c>
      <c r="Z102" s="25">
        <f>$L$102</f>
        <v>145720</v>
      </c>
      <c r="AA102" s="25"/>
      <c r="AB102" s="25">
        <f>$L$102</f>
        <v>145720</v>
      </c>
      <c r="AC102" s="25">
        <f>$L$102</f>
        <v>145720</v>
      </c>
      <c r="AD102" s="25">
        <f>$L$102</f>
        <v>145720</v>
      </c>
      <c r="AE102" s="25">
        <f>$L$102</f>
        <v>145720</v>
      </c>
      <c r="AF102" s="25">
        <f>$L$102</f>
        <v>145720</v>
      </c>
      <c r="AG102" s="25">
        <v>1748640</v>
      </c>
      <c r="AH102" s="25">
        <v>1748640</v>
      </c>
      <c r="AI102" s="25">
        <v>1748640</v>
      </c>
      <c r="AJ102" s="25">
        <v>1748640</v>
      </c>
      <c r="AK102" s="25">
        <v>1748640</v>
      </c>
      <c r="AL102" s="25">
        <v>1748640</v>
      </c>
      <c r="AM102" s="25">
        <v>1748640</v>
      </c>
      <c r="AN102" s="25">
        <v>1748640</v>
      </c>
      <c r="AO102" s="25">
        <v>1748640</v>
      </c>
      <c r="AP102" s="25">
        <v>1748640</v>
      </c>
      <c r="AQ102" s="25">
        <v>1748640</v>
      </c>
      <c r="AR102" s="25">
        <v>1748640</v>
      </c>
      <c r="AS102" s="25">
        <v>1748640</v>
      </c>
      <c r="AT102" s="25">
        <v>727139</v>
      </c>
      <c r="AU102" s="25"/>
      <c r="AV102" s="26" t="e">
        <f>N102+O102+P102+Q102+R102+S102+T102+#REF!+AG102+AH102+AI102+AJ102+AK102+AL102+AM102+AN102+AO102+AP102+AQ102+AR102+AS102+AT102</f>
        <v>#REF!</v>
      </c>
      <c r="AW102" s="22" t="e">
        <f t="shared" si="7"/>
        <v>#REF!</v>
      </c>
    </row>
    <row r="103" spans="2:49" s="19" customFormat="1" ht="45" x14ac:dyDescent="0.25">
      <c r="B103" s="11">
        <v>98</v>
      </c>
      <c r="C103" s="12" t="s">
        <v>206</v>
      </c>
      <c r="D103" s="12" t="s">
        <v>207</v>
      </c>
      <c r="E103" s="64" t="s">
        <v>379</v>
      </c>
      <c r="F103" s="14">
        <v>18640339</v>
      </c>
      <c r="G103" s="63">
        <v>2021</v>
      </c>
      <c r="H103" s="13">
        <v>15</v>
      </c>
      <c r="I103" s="15">
        <v>17675878.57</v>
      </c>
      <c r="J103" s="16">
        <v>18809000</v>
      </c>
      <c r="K103" s="16">
        <v>3761800</v>
      </c>
      <c r="L103" s="16">
        <v>64080</v>
      </c>
      <c r="M103" s="17">
        <v>49957</v>
      </c>
      <c r="N103" s="17"/>
      <c r="O103" s="20"/>
      <c r="P103" s="20">
        <v>3929000</v>
      </c>
      <c r="Q103" s="20">
        <v>4243300</v>
      </c>
      <c r="R103" s="20">
        <v>768980</v>
      </c>
      <c r="S103" s="20">
        <v>1939965</v>
      </c>
      <c r="T103" s="18">
        <v>4071320</v>
      </c>
      <c r="U103" s="18">
        <f>170000+3507000+180000</f>
        <v>3857000</v>
      </c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>
        <v>0</v>
      </c>
      <c r="AL103" s="18">
        <v>0</v>
      </c>
      <c r="AM103" s="18">
        <v>0</v>
      </c>
      <c r="AN103" s="18">
        <v>0</v>
      </c>
      <c r="AO103" s="18">
        <v>0</v>
      </c>
      <c r="AP103" s="18">
        <v>0</v>
      </c>
      <c r="AQ103" s="18">
        <v>0</v>
      </c>
      <c r="AR103" s="18">
        <v>0</v>
      </c>
      <c r="AS103" s="18">
        <v>0</v>
      </c>
      <c r="AT103" s="18">
        <v>0</v>
      </c>
      <c r="AU103" s="18"/>
      <c r="AV103" s="32" t="e">
        <f>N103+O103+P103+Q103+R103+S103+T103+#REF!+AG103+AH103+AI103+AJ103+AK103+AL103+AM103+AN103+AO103+AP103+AQ103+AR103+AS103+AT103</f>
        <v>#REF!</v>
      </c>
      <c r="AW103" s="19" t="e">
        <f>IF(J103&lt;=AV103,"ИСТИНА","ЛОЖЬ")</f>
        <v>#REF!</v>
      </c>
    </row>
    <row r="104" spans="2:49" s="19" customFormat="1" ht="30" x14ac:dyDescent="0.25">
      <c r="B104" s="11">
        <v>99</v>
      </c>
      <c r="C104" s="29" t="s">
        <v>314</v>
      </c>
      <c r="D104" s="29" t="s">
        <v>315</v>
      </c>
      <c r="E104" s="30" t="s">
        <v>343</v>
      </c>
      <c r="F104" s="38">
        <v>18964685</v>
      </c>
      <c r="G104" s="63">
        <v>2020</v>
      </c>
      <c r="H104" s="13"/>
      <c r="I104" s="39">
        <v>18217500.370000001</v>
      </c>
      <c r="J104" s="16">
        <v>20003000</v>
      </c>
      <c r="K104" s="16"/>
      <c r="L104" s="16"/>
      <c r="M104" s="17"/>
      <c r="N104" s="20"/>
      <c r="O104" s="20">
        <v>15278160</v>
      </c>
      <c r="P104" s="20">
        <v>1667760</v>
      </c>
      <c r="Q104" s="20">
        <v>3057080</v>
      </c>
      <c r="R104" s="20"/>
      <c r="S104" s="20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32" t="e">
        <f>N104+O104+P104+Q104+R104+S104+T104+#REF!+AG104+AH104+AI104+AJ104+AK104+AL104+AM104+AN104+AO104+AP104+AQ104+AR104+AS104+AT104</f>
        <v>#REF!</v>
      </c>
      <c r="AW104" s="19" t="e">
        <f t="shared" ref="AW104:AW116" si="10">J104=AV104</f>
        <v>#REF!</v>
      </c>
    </row>
    <row r="105" spans="2:49" s="22" customFormat="1" ht="30" x14ac:dyDescent="0.25">
      <c r="B105" s="23">
        <v>100</v>
      </c>
      <c r="C105" s="27" t="s">
        <v>208</v>
      </c>
      <c r="D105" s="24" t="s">
        <v>209</v>
      </c>
      <c r="E105" s="27" t="s">
        <v>210</v>
      </c>
      <c r="F105" s="41">
        <v>20771000</v>
      </c>
      <c r="G105" s="52">
        <v>2022</v>
      </c>
      <c r="H105" s="27">
        <v>15</v>
      </c>
      <c r="I105" s="42">
        <v>20545980.789999999</v>
      </c>
      <c r="J105" s="43">
        <v>25136000</v>
      </c>
      <c r="K105" s="43">
        <v>5027200</v>
      </c>
      <c r="L105" s="43">
        <v>111720</v>
      </c>
      <c r="M105" s="44">
        <v>50228</v>
      </c>
      <c r="N105" s="44"/>
      <c r="O105" s="45"/>
      <c r="P105" s="45"/>
      <c r="Q105" s="45">
        <v>5699300</v>
      </c>
      <c r="R105" s="45">
        <v>1344000</v>
      </c>
      <c r="S105" s="45">
        <v>1232000</v>
      </c>
      <c r="T105" s="25">
        <v>1456000</v>
      </c>
      <c r="U105" s="25"/>
      <c r="V105" s="25">
        <v>112000</v>
      </c>
      <c r="W105" s="25">
        <v>112000</v>
      </c>
      <c r="X105" s="25">
        <v>112000</v>
      </c>
      <c r="Y105" s="25">
        <v>112000</v>
      </c>
      <c r="Z105" s="25">
        <v>112000</v>
      </c>
      <c r="AA105" s="88">
        <v>112000</v>
      </c>
      <c r="AB105" s="25">
        <f>$L$105</f>
        <v>111720</v>
      </c>
      <c r="AC105" s="25">
        <f>$L$105</f>
        <v>111720</v>
      </c>
      <c r="AD105" s="25">
        <f>$L$105</f>
        <v>111720</v>
      </c>
      <c r="AE105" s="25">
        <f>$L$105</f>
        <v>111720</v>
      </c>
      <c r="AF105" s="25">
        <f>$L$105</f>
        <v>111720</v>
      </c>
      <c r="AG105" s="25">
        <v>1340640</v>
      </c>
      <c r="AH105" s="25">
        <v>1340640</v>
      </c>
      <c r="AI105" s="25">
        <v>1340640</v>
      </c>
      <c r="AJ105" s="25">
        <v>1340640</v>
      </c>
      <c r="AK105" s="25">
        <v>1340640</v>
      </c>
      <c r="AL105" s="25">
        <v>1340640</v>
      </c>
      <c r="AM105" s="25">
        <v>1340640</v>
      </c>
      <c r="AN105" s="25">
        <v>1340640</v>
      </c>
      <c r="AO105" s="25">
        <v>1340640</v>
      </c>
      <c r="AP105" s="25">
        <v>1340640</v>
      </c>
      <c r="AQ105" s="25">
        <v>769940</v>
      </c>
      <c r="AR105" s="25">
        <v>0</v>
      </c>
      <c r="AS105" s="25">
        <v>0</v>
      </c>
      <c r="AT105" s="25">
        <v>0</v>
      </c>
      <c r="AU105" s="25"/>
      <c r="AV105" s="26" t="e">
        <f>N105+O105+P105+Q105+R105+S105+T105+#REF!+AG105+AH105+AI105+AJ105+AK105+AL105+AM105+AN105+AO105+AP105+AQ105+AR105+AS105+AT105</f>
        <v>#REF!</v>
      </c>
      <c r="AW105" s="22" t="e">
        <f t="shared" si="10"/>
        <v>#REF!</v>
      </c>
    </row>
    <row r="106" spans="2:49" s="22" customFormat="1" ht="45" x14ac:dyDescent="0.25">
      <c r="B106" s="23">
        <v>101</v>
      </c>
      <c r="C106" s="34" t="s">
        <v>211</v>
      </c>
      <c r="D106" s="24" t="s">
        <v>212</v>
      </c>
      <c r="E106" s="27" t="s">
        <v>213</v>
      </c>
      <c r="F106" s="41">
        <v>5540473</v>
      </c>
      <c r="G106" s="52">
        <v>2023</v>
      </c>
      <c r="H106" s="27">
        <v>15</v>
      </c>
      <c r="I106" s="42">
        <v>5559078.6699999999</v>
      </c>
      <c r="J106" s="43">
        <v>9695000</v>
      </c>
      <c r="K106" s="43">
        <v>1939000</v>
      </c>
      <c r="L106" s="43">
        <v>43090</v>
      </c>
      <c r="M106" s="44">
        <v>50432</v>
      </c>
      <c r="N106" s="44"/>
      <c r="O106" s="45"/>
      <c r="P106" s="45"/>
      <c r="Q106" s="45"/>
      <c r="R106" s="45">
        <v>2412990</v>
      </c>
      <c r="S106" s="45">
        <v>517080</v>
      </c>
      <c r="T106" s="25">
        <v>517080</v>
      </c>
      <c r="U106" s="25">
        <f>L106</f>
        <v>43090</v>
      </c>
      <c r="V106" s="25">
        <f>L106</f>
        <v>43090</v>
      </c>
      <c r="W106" s="25">
        <f>L106</f>
        <v>43090</v>
      </c>
      <c r="X106" s="25">
        <v>43090</v>
      </c>
      <c r="Y106" s="25">
        <v>43090</v>
      </c>
      <c r="Z106" s="25">
        <f t="shared" ref="Z106:AF106" si="11">$L$106</f>
        <v>43090</v>
      </c>
      <c r="AA106" s="88">
        <f t="shared" si="11"/>
        <v>43090</v>
      </c>
      <c r="AB106" s="25">
        <f t="shared" si="11"/>
        <v>43090</v>
      </c>
      <c r="AC106" s="25">
        <f t="shared" si="11"/>
        <v>43090</v>
      </c>
      <c r="AD106" s="25">
        <f t="shared" si="11"/>
        <v>43090</v>
      </c>
      <c r="AE106" s="25">
        <f t="shared" si="11"/>
        <v>43090</v>
      </c>
      <c r="AF106" s="25">
        <f t="shared" si="11"/>
        <v>43090</v>
      </c>
      <c r="AG106" s="25">
        <v>517080</v>
      </c>
      <c r="AH106" s="25">
        <v>517080</v>
      </c>
      <c r="AI106" s="25">
        <v>517080</v>
      </c>
      <c r="AJ106" s="25">
        <v>517080</v>
      </c>
      <c r="AK106" s="25">
        <v>517080</v>
      </c>
      <c r="AL106" s="25">
        <v>517080</v>
      </c>
      <c r="AM106" s="25">
        <v>517080</v>
      </c>
      <c r="AN106" s="25">
        <v>517080</v>
      </c>
      <c r="AO106" s="25">
        <v>517080</v>
      </c>
      <c r="AP106" s="25">
        <v>517080</v>
      </c>
      <c r="AQ106" s="25">
        <v>517080</v>
      </c>
      <c r="AR106" s="25">
        <v>42890</v>
      </c>
      <c r="AS106" s="25">
        <v>0</v>
      </c>
      <c r="AT106" s="25">
        <v>0</v>
      </c>
      <c r="AU106" s="25"/>
      <c r="AV106" s="26" t="e">
        <f>N106+O106+P106+Q106+R106+S106+T106+#REF!+AG106+AH106+AI106+AJ106+AK106+AL106+AM106+AN106+AO106+AP106+AQ106+AR106+AS106+AT106</f>
        <v>#REF!</v>
      </c>
      <c r="AW106" s="22" t="e">
        <f t="shared" si="10"/>
        <v>#REF!</v>
      </c>
    </row>
    <row r="107" spans="2:49" s="22" customFormat="1" ht="30" x14ac:dyDescent="0.25">
      <c r="B107" s="23">
        <v>102</v>
      </c>
      <c r="C107" s="57" t="s">
        <v>214</v>
      </c>
      <c r="D107" s="24" t="s">
        <v>215</v>
      </c>
      <c r="E107" s="27" t="s">
        <v>216</v>
      </c>
      <c r="F107" s="41">
        <v>17515245</v>
      </c>
      <c r="G107" s="52">
        <v>2021</v>
      </c>
      <c r="H107" s="27">
        <v>15</v>
      </c>
      <c r="I107" s="42">
        <v>15262744.09</v>
      </c>
      <c r="J107" s="43">
        <v>21015000</v>
      </c>
      <c r="K107" s="43">
        <v>4203000</v>
      </c>
      <c r="L107" s="43">
        <v>88710</v>
      </c>
      <c r="M107" s="44">
        <v>49948</v>
      </c>
      <c r="N107" s="44"/>
      <c r="O107" s="45"/>
      <c r="P107" s="45">
        <v>4483200</v>
      </c>
      <c r="Q107" s="45">
        <v>1894880</v>
      </c>
      <c r="R107" s="45">
        <v>1064520</v>
      </c>
      <c r="S107" s="45">
        <v>2105810</v>
      </c>
      <c r="T107" s="25">
        <v>1281000</v>
      </c>
      <c r="U107" s="25"/>
      <c r="V107" s="25"/>
      <c r="W107" s="25"/>
      <c r="X107" s="25" t="s">
        <v>381</v>
      </c>
      <c r="Y107" s="25"/>
      <c r="Z107" s="25"/>
      <c r="AA107" s="25"/>
      <c r="AB107" s="25">
        <f>$L$107</f>
        <v>88710</v>
      </c>
      <c r="AC107" s="25">
        <f>$L$107</f>
        <v>88710</v>
      </c>
      <c r="AD107" s="25">
        <f>$L$107</f>
        <v>88710</v>
      </c>
      <c r="AE107" s="25">
        <f>$L$107</f>
        <v>88710</v>
      </c>
      <c r="AF107" s="25">
        <f>$L$107</f>
        <v>88710</v>
      </c>
      <c r="AG107" s="25">
        <v>798390</v>
      </c>
      <c r="AH107" s="25">
        <v>1064520</v>
      </c>
      <c r="AI107" s="25">
        <v>1064520</v>
      </c>
      <c r="AJ107" s="25">
        <v>1064520</v>
      </c>
      <c r="AK107" s="25">
        <v>1064520</v>
      </c>
      <c r="AL107" s="25">
        <v>1064520</v>
      </c>
      <c r="AM107" s="25">
        <v>1064520</v>
      </c>
      <c r="AN107" s="25">
        <v>1064520</v>
      </c>
      <c r="AO107" s="25">
        <v>1064520</v>
      </c>
      <c r="AP107" s="25">
        <v>871040</v>
      </c>
      <c r="AQ107" s="25">
        <v>0</v>
      </c>
      <c r="AR107" s="25">
        <v>0</v>
      </c>
      <c r="AS107" s="25">
        <v>0</v>
      </c>
      <c r="AT107" s="25">
        <v>0</v>
      </c>
      <c r="AU107" s="25"/>
      <c r="AV107" s="26" t="e">
        <f>N107+O107+P107+Q107+R107+S107+T107+#REF!+AG107+AH107+AI107+AJ107+AK107+AL107+AM107+AN107+AO107+AP107+AQ107+AR107+AS107+AT107</f>
        <v>#REF!</v>
      </c>
      <c r="AW107" s="22" t="e">
        <f t="shared" si="10"/>
        <v>#REF!</v>
      </c>
    </row>
    <row r="108" spans="2:49" s="22" customFormat="1" ht="45" x14ac:dyDescent="0.25">
      <c r="B108" s="23">
        <v>103</v>
      </c>
      <c r="C108" s="24" t="s">
        <v>217</v>
      </c>
      <c r="D108" s="24" t="s">
        <v>218</v>
      </c>
      <c r="E108" s="27" t="s">
        <v>219</v>
      </c>
      <c r="F108" s="41">
        <v>20116598</v>
      </c>
      <c r="G108" s="52">
        <v>2021</v>
      </c>
      <c r="H108" s="27">
        <v>15</v>
      </c>
      <c r="I108" s="42">
        <v>17510564.98</v>
      </c>
      <c r="J108" s="43">
        <v>22789000</v>
      </c>
      <c r="K108" s="43">
        <v>4557800</v>
      </c>
      <c r="L108" s="43">
        <v>101290</v>
      </c>
      <c r="M108" s="44">
        <v>49983</v>
      </c>
      <c r="N108" s="44"/>
      <c r="O108" s="45"/>
      <c r="P108" s="45">
        <v>4760390</v>
      </c>
      <c r="Q108" s="45">
        <v>1224000</v>
      </c>
      <c r="R108" s="45">
        <v>1224000</v>
      </c>
      <c r="S108" s="45">
        <v>2222000</v>
      </c>
      <c r="T108" s="25">
        <v>1300000</v>
      </c>
      <c r="U108" s="25"/>
      <c r="V108" s="25"/>
      <c r="W108" s="25"/>
      <c r="X108" s="25" t="s">
        <v>381</v>
      </c>
      <c r="Y108" s="25"/>
      <c r="Z108" s="25"/>
      <c r="AA108" s="25"/>
      <c r="AB108" s="25">
        <f>$L$108</f>
        <v>101290</v>
      </c>
      <c r="AC108" s="25">
        <f>$L$108</f>
        <v>101290</v>
      </c>
      <c r="AD108" s="25">
        <f>$L$108</f>
        <v>101290</v>
      </c>
      <c r="AE108" s="25">
        <f>$L$108</f>
        <v>101290</v>
      </c>
      <c r="AF108" s="25">
        <f>$L$108</f>
        <v>101290</v>
      </c>
      <c r="AG108" s="25">
        <v>1215480</v>
      </c>
      <c r="AH108" s="25">
        <v>1215480</v>
      </c>
      <c r="AI108" s="25">
        <v>1215480</v>
      </c>
      <c r="AJ108" s="25">
        <v>1215480</v>
      </c>
      <c r="AK108" s="25">
        <v>1215480</v>
      </c>
      <c r="AL108" s="25">
        <v>1215480</v>
      </c>
      <c r="AM108" s="25">
        <v>1215480</v>
      </c>
      <c r="AN108" s="25">
        <v>1215480</v>
      </c>
      <c r="AO108" s="25">
        <v>1215480</v>
      </c>
      <c r="AP108" s="25">
        <v>1018000</v>
      </c>
      <c r="AQ108" s="25">
        <v>0</v>
      </c>
      <c r="AR108" s="25">
        <v>0</v>
      </c>
      <c r="AS108" s="25">
        <v>0</v>
      </c>
      <c r="AT108" s="25">
        <v>0</v>
      </c>
      <c r="AU108" s="25"/>
      <c r="AV108" s="26" t="e">
        <f>N108+O108+P108+Q108+R108+S108+T108+#REF!+AG108+AH108+AI108+AJ108+AK108+AL108+AM108+AN108+AO108+AP108+AQ108+AR108+AS108+AT108</f>
        <v>#REF!</v>
      </c>
      <c r="AW108" s="22" t="e">
        <f t="shared" si="10"/>
        <v>#REF!</v>
      </c>
    </row>
    <row r="109" spans="2:49" s="19" customFormat="1" ht="45" x14ac:dyDescent="0.25">
      <c r="B109" s="11">
        <v>104</v>
      </c>
      <c r="C109" s="29" t="s">
        <v>316</v>
      </c>
      <c r="D109" s="29" t="s">
        <v>317</v>
      </c>
      <c r="E109" s="30" t="s">
        <v>344</v>
      </c>
      <c r="F109" s="38">
        <v>11064416</v>
      </c>
      <c r="G109" s="63">
        <v>2019</v>
      </c>
      <c r="H109" s="13"/>
      <c r="I109" s="39">
        <v>10861568.41</v>
      </c>
      <c r="J109" s="16">
        <v>4140784.06</v>
      </c>
      <c r="K109" s="16"/>
      <c r="L109" s="16"/>
      <c r="M109" s="17"/>
      <c r="N109" s="20">
        <v>4140784.06</v>
      </c>
      <c r="O109" s="20"/>
      <c r="P109" s="20"/>
      <c r="Q109" s="20"/>
      <c r="R109" s="20"/>
      <c r="S109" s="20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32" t="e">
        <f>N109+O109+P109+Q109+R109+S109+T109+#REF!+AG109+AH109+AI109+AJ109+AK109+AL109+AM109+AN109+AO109+AP109+AQ109+AR109+AS109+AT109</f>
        <v>#REF!</v>
      </c>
      <c r="AW109" s="19" t="e">
        <f t="shared" si="10"/>
        <v>#REF!</v>
      </c>
    </row>
    <row r="110" spans="2:49" s="22" customFormat="1" ht="30" x14ac:dyDescent="0.25">
      <c r="B110" s="23">
        <v>105</v>
      </c>
      <c r="C110" s="24" t="s">
        <v>220</v>
      </c>
      <c r="D110" s="24" t="s">
        <v>221</v>
      </c>
      <c r="E110" s="27" t="s">
        <v>222</v>
      </c>
      <c r="F110" s="41">
        <v>25100051</v>
      </c>
      <c r="G110" s="52">
        <v>2021</v>
      </c>
      <c r="H110" s="27">
        <v>15</v>
      </c>
      <c r="I110" s="42">
        <v>21990609.940000001</v>
      </c>
      <c r="J110" s="43">
        <v>24914000</v>
      </c>
      <c r="K110" s="43">
        <v>4982800</v>
      </c>
      <c r="L110" s="43">
        <v>110730</v>
      </c>
      <c r="M110" s="44">
        <v>49793</v>
      </c>
      <c r="N110" s="44"/>
      <c r="O110" s="45"/>
      <c r="P110" s="45">
        <v>5864639</v>
      </c>
      <c r="Q110" s="45">
        <v>1330920</v>
      </c>
      <c r="R110" s="45">
        <v>1332000</v>
      </c>
      <c r="S110" s="45">
        <v>3929740</v>
      </c>
      <c r="T110" s="25">
        <v>0</v>
      </c>
      <c r="U110" s="25"/>
      <c r="V110" s="25"/>
      <c r="W110" s="25"/>
      <c r="X110" s="25" t="s">
        <v>381</v>
      </c>
      <c r="Y110" s="25"/>
      <c r="Z110" s="25"/>
      <c r="AA110" s="25"/>
      <c r="AB110" s="25">
        <f>$L$110</f>
        <v>110730</v>
      </c>
      <c r="AC110" s="25">
        <f>$L$110</f>
        <v>110730</v>
      </c>
      <c r="AD110" s="25">
        <f>$L$110</f>
        <v>110730</v>
      </c>
      <c r="AE110" s="25">
        <f>$L$110</f>
        <v>110730</v>
      </c>
      <c r="AF110" s="25">
        <f>$L$110</f>
        <v>110730</v>
      </c>
      <c r="AG110" s="25">
        <v>1328760</v>
      </c>
      <c r="AH110" s="25">
        <v>1328760</v>
      </c>
      <c r="AI110" s="25">
        <v>1328760</v>
      </c>
      <c r="AJ110" s="25">
        <v>1328760</v>
      </c>
      <c r="AK110" s="25">
        <v>1328760</v>
      </c>
      <c r="AL110" s="25">
        <v>1328760</v>
      </c>
      <c r="AM110" s="25">
        <v>1328760</v>
      </c>
      <c r="AN110" s="25">
        <v>1328760</v>
      </c>
      <c r="AO110" s="25">
        <v>1328760</v>
      </c>
      <c r="AP110" s="25">
        <v>387131</v>
      </c>
      <c r="AQ110" s="25">
        <v>0</v>
      </c>
      <c r="AR110" s="25">
        <v>0</v>
      </c>
      <c r="AS110" s="25">
        <v>0</v>
      </c>
      <c r="AT110" s="25">
        <v>0</v>
      </c>
      <c r="AU110" s="25"/>
      <c r="AV110" s="26" t="e">
        <f>N110+O110+P110+Q110+R110+S110+T110+#REF!+AG110+AH110+AI110+AJ110+AK110+AL110+AM110+AN110+AO110+AP110+AQ110+AR110+AS110+AT110</f>
        <v>#REF!</v>
      </c>
      <c r="AW110" s="22" t="e">
        <f t="shared" si="10"/>
        <v>#REF!</v>
      </c>
    </row>
    <row r="111" spans="2:49" s="22" customFormat="1" ht="45" x14ac:dyDescent="0.25">
      <c r="B111" s="23">
        <v>106</v>
      </c>
      <c r="C111" s="27" t="s">
        <v>223</v>
      </c>
      <c r="D111" s="24" t="s">
        <v>224</v>
      </c>
      <c r="E111" s="27" t="s">
        <v>225</v>
      </c>
      <c r="F111" s="41">
        <v>19222527</v>
      </c>
      <c r="G111" s="52">
        <v>2022</v>
      </c>
      <c r="H111" s="27">
        <v>15</v>
      </c>
      <c r="I111" s="42">
        <v>16641578.630000001</v>
      </c>
      <c r="J111" s="43">
        <v>22352000</v>
      </c>
      <c r="K111" s="43">
        <v>4470400</v>
      </c>
      <c r="L111" s="43">
        <v>86450</v>
      </c>
      <c r="M111" s="44">
        <v>50123</v>
      </c>
      <c r="N111" s="44"/>
      <c r="O111" s="45"/>
      <c r="P111" s="45"/>
      <c r="Q111" s="45">
        <v>7570397</v>
      </c>
      <c r="R111" s="45">
        <v>1037400</v>
      </c>
      <c r="S111" s="45">
        <v>1037400</v>
      </c>
      <c r="T111" s="25">
        <v>1041250</v>
      </c>
      <c r="U111" s="25">
        <v>87000</v>
      </c>
      <c r="V111" s="25">
        <v>87000</v>
      </c>
      <c r="W111" s="25">
        <v>87000</v>
      </c>
      <c r="X111" s="25">
        <v>87000</v>
      </c>
      <c r="Y111" s="25">
        <v>87000</v>
      </c>
      <c r="Z111" s="25">
        <v>87000</v>
      </c>
      <c r="AA111" s="25"/>
      <c r="AB111" s="25">
        <f>$L$111</f>
        <v>86450</v>
      </c>
      <c r="AC111" s="25">
        <f>$L$111</f>
        <v>86450</v>
      </c>
      <c r="AD111" s="25">
        <f>$L$111</f>
        <v>86450</v>
      </c>
      <c r="AE111" s="25">
        <f>$L$111</f>
        <v>86450</v>
      </c>
      <c r="AF111" s="25">
        <f>$L$111</f>
        <v>86450</v>
      </c>
      <c r="AG111" s="25">
        <v>1037400</v>
      </c>
      <c r="AH111" s="25">
        <v>1037400</v>
      </c>
      <c r="AI111" s="25">
        <v>1037400</v>
      </c>
      <c r="AJ111" s="25">
        <v>1037400</v>
      </c>
      <c r="AK111" s="25">
        <v>1037400</v>
      </c>
      <c r="AL111" s="25">
        <v>1037400</v>
      </c>
      <c r="AM111" s="25">
        <v>1037400</v>
      </c>
      <c r="AN111" s="25">
        <v>1037400</v>
      </c>
      <c r="AO111" s="25">
        <v>1037400</v>
      </c>
      <c r="AP111" s="25">
        <v>1037400</v>
      </c>
      <c r="AQ111" s="25">
        <v>254703</v>
      </c>
      <c r="AR111" s="25">
        <v>0</v>
      </c>
      <c r="AS111" s="25">
        <v>0</v>
      </c>
      <c r="AT111" s="25">
        <v>0</v>
      </c>
      <c r="AU111" s="25"/>
      <c r="AV111" s="26" t="e">
        <f>N111+O111+P111+Q111+R111+S111+T111+#REF!+AG111+AH111+AI111+AJ111+AK111+AL111+AM111+AN111+AO111+AP111+AQ111+AR111+AS111+AT111</f>
        <v>#REF!</v>
      </c>
      <c r="AW111" s="22" t="e">
        <f t="shared" si="10"/>
        <v>#REF!</v>
      </c>
    </row>
    <row r="112" spans="2:49" s="22" customFormat="1" ht="30" x14ac:dyDescent="0.25">
      <c r="B112" s="23">
        <v>107</v>
      </c>
      <c r="C112" s="27" t="s">
        <v>226</v>
      </c>
      <c r="D112" s="62" t="s">
        <v>227</v>
      </c>
      <c r="E112" s="27" t="s">
        <v>228</v>
      </c>
      <c r="F112" s="41">
        <v>24600618</v>
      </c>
      <c r="G112" s="52">
        <v>2024</v>
      </c>
      <c r="H112" s="27">
        <v>15</v>
      </c>
      <c r="I112" s="42">
        <v>20647262.18</v>
      </c>
      <c r="J112" s="43">
        <v>33236556</v>
      </c>
      <c r="K112" s="43">
        <v>6650000</v>
      </c>
      <c r="L112" s="43">
        <v>147710</v>
      </c>
      <c r="M112" s="44">
        <v>50967</v>
      </c>
      <c r="N112" s="44"/>
      <c r="O112" s="45"/>
      <c r="P112" s="45"/>
      <c r="Q112" s="45"/>
      <c r="R112" s="45"/>
      <c r="S112" s="45">
        <v>7388550</v>
      </c>
      <c r="T112" s="37">
        <v>1636550</v>
      </c>
      <c r="U112" s="37">
        <v>150000</v>
      </c>
      <c r="V112" s="37">
        <v>150000</v>
      </c>
      <c r="W112" s="37">
        <v>150000</v>
      </c>
      <c r="X112" s="37">
        <f>150000+150000</f>
        <v>300000</v>
      </c>
      <c r="Y112" s="37">
        <v>150000</v>
      </c>
      <c r="Z112" s="37">
        <v>150000</v>
      </c>
      <c r="AA112" s="89">
        <v>150000</v>
      </c>
      <c r="AB112" s="37">
        <f>$L$112</f>
        <v>147710</v>
      </c>
      <c r="AC112" s="37">
        <f>$L$112</f>
        <v>147710</v>
      </c>
      <c r="AD112" s="37">
        <f>$L$112</f>
        <v>147710</v>
      </c>
      <c r="AE112" s="37">
        <f>$L$112</f>
        <v>147710</v>
      </c>
      <c r="AF112" s="37">
        <f>$L$112</f>
        <v>147710</v>
      </c>
      <c r="AG112" s="37">
        <v>1772520</v>
      </c>
      <c r="AH112" s="37">
        <v>1772520</v>
      </c>
      <c r="AI112" s="37">
        <v>1772520</v>
      </c>
      <c r="AJ112" s="37">
        <v>1772520</v>
      </c>
      <c r="AK112" s="37">
        <v>1772520</v>
      </c>
      <c r="AL112" s="37">
        <v>1772520</v>
      </c>
      <c r="AM112" s="37">
        <v>1772520</v>
      </c>
      <c r="AN112" s="37">
        <v>1772520</v>
      </c>
      <c r="AO112" s="37">
        <v>1772520</v>
      </c>
      <c r="AP112" s="37">
        <v>1772520</v>
      </c>
      <c r="AQ112" s="37">
        <v>1772520</v>
      </c>
      <c r="AR112" s="37">
        <v>1772520</v>
      </c>
      <c r="AS112" s="37">
        <v>1168696</v>
      </c>
      <c r="AT112" s="37">
        <v>0</v>
      </c>
      <c r="AU112" s="37"/>
      <c r="AV112" s="26" t="e">
        <f>N112+O112+P112+Q112+R112+S112+T112+#REF!+AG112+AH112+AI112+AJ112+AK112+AL112+AM112+AN112+AO112+AP112+AQ112+AR112+AS112+AT112</f>
        <v>#REF!</v>
      </c>
      <c r="AW112" s="22" t="e">
        <f t="shared" si="10"/>
        <v>#REF!</v>
      </c>
    </row>
    <row r="113" spans="1:49" s="22" customFormat="1" ht="45" x14ac:dyDescent="0.25">
      <c r="A113" s="19"/>
      <c r="B113" s="11">
        <v>108</v>
      </c>
      <c r="C113" s="29" t="s">
        <v>318</v>
      </c>
      <c r="D113" s="29" t="s">
        <v>319</v>
      </c>
      <c r="E113" s="30" t="s">
        <v>345</v>
      </c>
      <c r="F113" s="71">
        <v>27705811</v>
      </c>
      <c r="G113" s="63">
        <v>2019</v>
      </c>
      <c r="H113" s="73"/>
      <c r="I113" s="75">
        <v>27197871.149999999</v>
      </c>
      <c r="J113" s="20">
        <v>9736216.5999999996</v>
      </c>
      <c r="K113" s="20"/>
      <c r="L113" s="20"/>
      <c r="M113" s="17"/>
      <c r="N113" s="20">
        <v>9736217</v>
      </c>
      <c r="O113" s="20"/>
      <c r="P113" s="20"/>
      <c r="Q113" s="20"/>
      <c r="R113" s="20"/>
      <c r="S113" s="20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  <c r="AF113" s="69"/>
      <c r="AG113" s="69"/>
      <c r="AH113" s="69"/>
      <c r="AI113" s="69"/>
      <c r="AJ113" s="69"/>
      <c r="AK113" s="69"/>
      <c r="AL113" s="69"/>
      <c r="AM113" s="69"/>
      <c r="AN113" s="69"/>
      <c r="AO113" s="69"/>
      <c r="AP113" s="69"/>
      <c r="AQ113" s="69"/>
      <c r="AR113" s="69"/>
      <c r="AS113" s="69"/>
      <c r="AT113" s="69"/>
      <c r="AU113" s="69"/>
      <c r="AV113" s="32" t="e">
        <f>N113+O113+P113+Q113+R113+S113+T113+#REF!+AG113+AH113+AI113+AJ113+AK113+AL113+AM113+AN113+AO113+AP113+AQ113+AR113+AS113+AT113</f>
        <v>#REF!</v>
      </c>
      <c r="AW113" s="19" t="e">
        <f t="shared" si="10"/>
        <v>#REF!</v>
      </c>
    </row>
    <row r="114" spans="1:49" s="22" customFormat="1" ht="45" x14ac:dyDescent="0.25">
      <c r="B114" s="23">
        <v>109</v>
      </c>
      <c r="C114" s="27" t="s">
        <v>229</v>
      </c>
      <c r="D114" s="24" t="s">
        <v>230</v>
      </c>
      <c r="E114" s="27" t="s">
        <v>231</v>
      </c>
      <c r="F114" s="72">
        <v>17099673</v>
      </c>
      <c r="G114" s="56">
        <v>2022</v>
      </c>
      <c r="H114" s="49">
        <v>15</v>
      </c>
      <c r="I114" s="76">
        <v>16144580.550000001</v>
      </c>
      <c r="J114" s="45">
        <v>21483000</v>
      </c>
      <c r="K114" s="45">
        <v>6000000</v>
      </c>
      <c r="L114" s="45">
        <v>86020</v>
      </c>
      <c r="M114" s="44">
        <v>50099</v>
      </c>
      <c r="N114" s="44"/>
      <c r="O114" s="45"/>
      <c r="P114" s="45"/>
      <c r="Q114" s="45">
        <v>6860440</v>
      </c>
      <c r="R114" s="45">
        <v>2202700</v>
      </c>
      <c r="S114" s="45">
        <v>1033200</v>
      </c>
      <c r="T114" s="60">
        <v>1033200</v>
      </c>
      <c r="U114" s="37">
        <v>86100</v>
      </c>
      <c r="V114" s="37">
        <v>86100</v>
      </c>
      <c r="W114" s="37">
        <v>86100</v>
      </c>
      <c r="X114" s="37">
        <v>86100</v>
      </c>
      <c r="Y114" s="37">
        <v>86100</v>
      </c>
      <c r="Z114" s="37">
        <v>86100</v>
      </c>
      <c r="AA114" s="37"/>
      <c r="AB114" s="37">
        <f>$L$114</f>
        <v>86020</v>
      </c>
      <c r="AC114" s="37">
        <f>$L$114</f>
        <v>86020</v>
      </c>
      <c r="AD114" s="37">
        <f>$L$114</f>
        <v>86020</v>
      </c>
      <c r="AE114" s="37">
        <f>$L$114</f>
        <v>86020</v>
      </c>
      <c r="AF114" s="37">
        <f>$L$114</f>
        <v>86020</v>
      </c>
      <c r="AG114" s="37">
        <v>1032240</v>
      </c>
      <c r="AH114" s="37">
        <v>1032240</v>
      </c>
      <c r="AI114" s="37">
        <v>1032240</v>
      </c>
      <c r="AJ114" s="37">
        <v>1032240</v>
      </c>
      <c r="AK114" s="37">
        <v>1032240</v>
      </c>
      <c r="AL114" s="37">
        <v>1032240</v>
      </c>
      <c r="AM114" s="37">
        <v>1032240</v>
      </c>
      <c r="AN114" s="37">
        <v>1032240</v>
      </c>
      <c r="AO114" s="37">
        <v>1032240</v>
      </c>
      <c r="AP114" s="37">
        <v>31140</v>
      </c>
      <c r="AQ114" s="37">
        <v>0</v>
      </c>
      <c r="AR114" s="37">
        <v>0</v>
      </c>
      <c r="AS114" s="37">
        <v>0</v>
      </c>
      <c r="AT114" s="37">
        <v>0</v>
      </c>
      <c r="AU114" s="37"/>
      <c r="AV114" s="26" t="e">
        <f>N114+O114+P114+Q114+R114+S114+T114+#REF!+AG114+AH114+AI114+AJ114+AK114+AL114+AM114+AN114+AO114+AP114+AQ114+AR114+AS114+AT114</f>
        <v>#REF!</v>
      </c>
      <c r="AW114" s="22" t="e">
        <f t="shared" si="10"/>
        <v>#REF!</v>
      </c>
    </row>
    <row r="115" spans="1:49" s="22" customFormat="1" ht="45" x14ac:dyDescent="0.25">
      <c r="B115" s="23">
        <v>110</v>
      </c>
      <c r="C115" s="34" t="s">
        <v>232</v>
      </c>
      <c r="D115" s="62" t="s">
        <v>233</v>
      </c>
      <c r="E115" s="27" t="s">
        <v>234</v>
      </c>
      <c r="F115" s="72">
        <v>4174245</v>
      </c>
      <c r="G115" s="56">
        <v>2023</v>
      </c>
      <c r="H115" s="49">
        <v>15</v>
      </c>
      <c r="I115" s="76">
        <v>4180098.04</v>
      </c>
      <c r="J115" s="45">
        <v>8184000</v>
      </c>
      <c r="K115" s="45">
        <v>1636800</v>
      </c>
      <c r="L115" s="45">
        <v>36380</v>
      </c>
      <c r="M115" s="44">
        <v>50745</v>
      </c>
      <c r="N115" s="44"/>
      <c r="O115" s="45"/>
      <c r="P115" s="45"/>
      <c r="Q115" s="45"/>
      <c r="R115" s="45">
        <v>1636800</v>
      </c>
      <c r="S115" s="45">
        <v>437774</v>
      </c>
      <c r="T115" s="37">
        <v>254260</v>
      </c>
      <c r="U115" s="37"/>
      <c r="V115" s="37"/>
      <c r="W115" s="37"/>
      <c r="X115" s="37">
        <v>283008</v>
      </c>
      <c r="Y115" s="37">
        <v>44000</v>
      </c>
      <c r="Z115" s="84"/>
      <c r="AA115" s="89">
        <v>109000</v>
      </c>
      <c r="AB115" s="37">
        <f>$L$115</f>
        <v>36380</v>
      </c>
      <c r="AC115" s="37">
        <f>$L$115</f>
        <v>36380</v>
      </c>
      <c r="AD115" s="37">
        <f>$L$115</f>
        <v>36380</v>
      </c>
      <c r="AE115" s="37">
        <f>$L$115</f>
        <v>36380</v>
      </c>
      <c r="AF115" s="37">
        <f>$L$115</f>
        <v>36380</v>
      </c>
      <c r="AG115" s="37">
        <v>436560</v>
      </c>
      <c r="AH115" s="37">
        <v>436560</v>
      </c>
      <c r="AI115" s="37">
        <v>436560</v>
      </c>
      <c r="AJ115" s="37">
        <v>436560</v>
      </c>
      <c r="AK115" s="37">
        <v>436560</v>
      </c>
      <c r="AL115" s="37">
        <v>436560</v>
      </c>
      <c r="AM115" s="37">
        <v>436560</v>
      </c>
      <c r="AN115" s="37">
        <v>436560</v>
      </c>
      <c r="AO115" s="37">
        <v>436560</v>
      </c>
      <c r="AP115" s="37">
        <v>436560</v>
      </c>
      <c r="AQ115" s="37">
        <v>436560</v>
      </c>
      <c r="AR115" s="37">
        <v>543686</v>
      </c>
      <c r="AS115" s="37">
        <v>0</v>
      </c>
      <c r="AT115" s="37">
        <v>0</v>
      </c>
      <c r="AU115" s="37"/>
      <c r="AV115" s="26" t="e">
        <f>N115+O115+P115+Q115+R115+S115+T115+#REF!+AG115+AH115+AI115+AJ115+AK115+AL115+AM115+AN115+AO115+AP115+AQ115+AR115+AS115+AT115</f>
        <v>#REF!</v>
      </c>
      <c r="AW115" s="22" t="e">
        <f t="shared" si="10"/>
        <v>#REF!</v>
      </c>
    </row>
    <row r="116" spans="1:49" s="22" customFormat="1" ht="30" x14ac:dyDescent="0.25">
      <c r="B116" s="23">
        <v>111</v>
      </c>
      <c r="C116" s="24" t="s">
        <v>235</v>
      </c>
      <c r="D116" s="24" t="s">
        <v>236</v>
      </c>
      <c r="E116" s="27" t="s">
        <v>237</v>
      </c>
      <c r="F116" s="72">
        <v>15382475</v>
      </c>
      <c r="G116" s="56">
        <v>2021</v>
      </c>
      <c r="H116" s="49">
        <v>15</v>
      </c>
      <c r="I116" s="76">
        <v>14570757.439999999</v>
      </c>
      <c r="J116" s="45">
        <v>16306000</v>
      </c>
      <c r="K116" s="45">
        <v>3261200</v>
      </c>
      <c r="L116" s="45">
        <v>87570</v>
      </c>
      <c r="M116" s="44">
        <v>48176</v>
      </c>
      <c r="N116" s="44"/>
      <c r="O116" s="45"/>
      <c r="P116" s="45">
        <v>3333680</v>
      </c>
      <c r="Q116" s="45">
        <v>3690570</v>
      </c>
      <c r="R116" s="45">
        <v>875700</v>
      </c>
      <c r="S116" s="45">
        <v>1225980</v>
      </c>
      <c r="T116" s="60">
        <v>1050840</v>
      </c>
      <c r="U116" s="37">
        <f>L116</f>
        <v>87570</v>
      </c>
      <c r="V116" s="37">
        <f>L116</f>
        <v>87570</v>
      </c>
      <c r="W116" s="37">
        <f>L116</f>
        <v>87570</v>
      </c>
      <c r="X116" s="37">
        <v>87570</v>
      </c>
      <c r="Y116" s="37">
        <v>87570</v>
      </c>
      <c r="Z116" s="37">
        <f t="shared" ref="Z116:AF116" si="12">$L$116</f>
        <v>87570</v>
      </c>
      <c r="AA116" s="89">
        <f t="shared" si="12"/>
        <v>87570</v>
      </c>
      <c r="AB116" s="37">
        <f t="shared" si="12"/>
        <v>87570</v>
      </c>
      <c r="AC116" s="37">
        <f t="shared" si="12"/>
        <v>87570</v>
      </c>
      <c r="AD116" s="37">
        <f t="shared" si="12"/>
        <v>87570</v>
      </c>
      <c r="AE116" s="37">
        <f t="shared" si="12"/>
        <v>87570</v>
      </c>
      <c r="AF116" s="37">
        <f t="shared" si="12"/>
        <v>87570</v>
      </c>
      <c r="AG116" s="37">
        <v>1050840</v>
      </c>
      <c r="AH116" s="37">
        <v>1050840</v>
      </c>
      <c r="AI116" s="37">
        <v>1050840</v>
      </c>
      <c r="AJ116" s="37">
        <v>1050840</v>
      </c>
      <c r="AK116" s="37">
        <v>875030</v>
      </c>
      <c r="AL116" s="37">
        <v>0</v>
      </c>
      <c r="AM116" s="37">
        <v>0</v>
      </c>
      <c r="AN116" s="37">
        <v>0</v>
      </c>
      <c r="AO116" s="37">
        <v>0</v>
      </c>
      <c r="AP116" s="37">
        <v>0</v>
      </c>
      <c r="AQ116" s="37">
        <v>0</v>
      </c>
      <c r="AR116" s="37">
        <v>0</v>
      </c>
      <c r="AS116" s="37">
        <v>0</v>
      </c>
      <c r="AT116" s="37">
        <v>0</v>
      </c>
      <c r="AU116" s="37"/>
      <c r="AV116" s="61" t="e">
        <f>N116+O116+P116+Q116+R116+S116+T116+#REF!+AG116+AH116+AI116+AJ116+AK116+AL116+AM116+AN116+AO116+AP116+AQ116+AR116+AS116+AT116</f>
        <v>#REF!</v>
      </c>
      <c r="AW116" s="22" t="e">
        <f t="shared" si="10"/>
        <v>#REF!</v>
      </c>
    </row>
    <row r="117" spans="1:49" s="22" customFormat="1" ht="15.75" x14ac:dyDescent="0.25">
      <c r="B117" s="23"/>
      <c r="C117" s="90"/>
      <c r="D117" s="90"/>
      <c r="E117" s="49"/>
      <c r="F117" s="72"/>
      <c r="G117" s="56"/>
      <c r="H117" s="49"/>
      <c r="I117" s="76"/>
      <c r="J117" s="45"/>
      <c r="K117" s="45"/>
      <c r="L117" s="45"/>
      <c r="M117" s="44"/>
      <c r="N117" s="44"/>
      <c r="O117" s="45"/>
      <c r="P117" s="45"/>
      <c r="Q117" s="45"/>
      <c r="R117" s="45"/>
      <c r="S117" s="45"/>
      <c r="T117" s="60"/>
      <c r="U117" s="37"/>
      <c r="V117" s="37"/>
      <c r="W117" s="37"/>
      <c r="X117" s="37"/>
      <c r="Y117" s="37"/>
      <c r="Z117" s="37"/>
      <c r="AA117" s="89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61"/>
    </row>
    <row r="118" spans="1:49" ht="15.75" x14ac:dyDescent="0.25">
      <c r="B118" s="3"/>
      <c r="C118" s="82"/>
      <c r="D118" s="82"/>
      <c r="E118" s="82"/>
      <c r="F118" s="82">
        <f t="shared" ref="F118" si="13">SUBTOTAL(9,F6:F116)</f>
        <v>2052445660</v>
      </c>
      <c r="G118" s="82"/>
      <c r="H118" s="82"/>
      <c r="I118" s="82">
        <f t="shared" ref="I118:L118" si="14">SUBTOTAL(9,I6:I116)</f>
        <v>1900994988.2100005</v>
      </c>
      <c r="J118" s="82">
        <f t="shared" si="14"/>
        <v>2140881110.8099997</v>
      </c>
      <c r="K118" s="82">
        <f t="shared" si="14"/>
        <v>401091398.99999994</v>
      </c>
      <c r="L118" s="82">
        <f t="shared" si="14"/>
        <v>7947706</v>
      </c>
      <c r="M118" s="82"/>
      <c r="N118" s="82">
        <f>SUBTOTAL(9,N6:N116)</f>
        <v>85913811.090000004</v>
      </c>
      <c r="O118" s="82">
        <f>SUBTOTAL(109,O6:O116)</f>
        <v>48690484</v>
      </c>
      <c r="P118" s="82">
        <f t="shared" ref="P118:AV118" si="15">SUBTOTAL(109,P6:P116)</f>
        <v>185253738.80000001</v>
      </c>
      <c r="Q118" s="82">
        <f t="shared" si="15"/>
        <v>260567703.80000001</v>
      </c>
      <c r="R118" s="82">
        <f t="shared" si="15"/>
        <v>140381771.80000001</v>
      </c>
      <c r="S118" s="82">
        <f t="shared" si="15"/>
        <v>148150319.60000002</v>
      </c>
      <c r="T118" s="82">
        <f t="shared" si="15"/>
        <v>224211931.20000002</v>
      </c>
      <c r="U118" s="82">
        <f t="shared" si="15"/>
        <v>33751328</v>
      </c>
      <c r="V118" s="82">
        <f t="shared" si="15"/>
        <v>7962870</v>
      </c>
      <c r="W118" s="82">
        <f t="shared" si="15"/>
        <v>16156470</v>
      </c>
      <c r="X118" s="82">
        <f t="shared" si="15"/>
        <v>13229678</v>
      </c>
      <c r="Y118" s="82">
        <f t="shared" si="15"/>
        <v>10716870</v>
      </c>
      <c r="Z118" s="82">
        <f t="shared" si="15"/>
        <v>16373262</v>
      </c>
      <c r="AA118" s="82">
        <f t="shared" si="15"/>
        <v>2493800</v>
      </c>
      <c r="AB118" s="82">
        <f t="shared" si="15"/>
        <v>6964646</v>
      </c>
      <c r="AC118" s="82">
        <f t="shared" si="15"/>
        <v>7052546</v>
      </c>
      <c r="AD118" s="82">
        <f t="shared" si="15"/>
        <v>7052546</v>
      </c>
      <c r="AE118" s="82">
        <f t="shared" si="15"/>
        <v>7052546</v>
      </c>
      <c r="AF118" s="82">
        <f t="shared" si="15"/>
        <v>7052546</v>
      </c>
      <c r="AG118" s="82">
        <f t="shared" si="15"/>
        <v>83555642</v>
      </c>
      <c r="AH118" s="82">
        <f t="shared" si="15"/>
        <v>83313788</v>
      </c>
      <c r="AI118" s="82">
        <f t="shared" si="15"/>
        <v>82822392</v>
      </c>
      <c r="AJ118" s="82">
        <f t="shared" si="15"/>
        <v>83645472</v>
      </c>
      <c r="AK118" s="82">
        <f t="shared" si="15"/>
        <v>82734032</v>
      </c>
      <c r="AL118" s="82">
        <f t="shared" si="15"/>
        <v>82391352</v>
      </c>
      <c r="AM118" s="82">
        <f t="shared" si="15"/>
        <v>82046262</v>
      </c>
      <c r="AN118" s="82">
        <f t="shared" si="15"/>
        <v>80017465</v>
      </c>
      <c r="AO118" s="82">
        <f t="shared" si="15"/>
        <v>76021585</v>
      </c>
      <c r="AP118" s="82">
        <f t="shared" si="15"/>
        <v>65820492</v>
      </c>
      <c r="AQ118" s="82">
        <f t="shared" si="15"/>
        <v>44744550</v>
      </c>
      <c r="AR118" s="82">
        <f t="shared" si="15"/>
        <v>34623920</v>
      </c>
      <c r="AS118" s="82">
        <f t="shared" si="15"/>
        <v>25609119</v>
      </c>
      <c r="AT118" s="82">
        <f t="shared" si="15"/>
        <v>13126443</v>
      </c>
      <c r="AU118" s="82">
        <f t="shared" si="15"/>
        <v>637030</v>
      </c>
      <c r="AV118" s="82" t="e">
        <f t="shared" si="15"/>
        <v>#REF!</v>
      </c>
    </row>
    <row r="119" spans="1:49" x14ac:dyDescent="0.25">
      <c r="T119" s="1">
        <f>SUM(T6:T112)</f>
        <v>221873631.20000002</v>
      </c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9" x14ac:dyDescent="0.25"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</row>
    <row r="121" spans="1:49" x14ac:dyDescent="0.25"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</row>
    <row r="122" spans="1:49" x14ac:dyDescent="0.25">
      <c r="E122" s="53"/>
      <c r="F122" s="1"/>
      <c r="G122" s="1"/>
      <c r="H122" s="53"/>
      <c r="I122" s="53"/>
      <c r="J122" s="53"/>
      <c r="K122" s="53"/>
      <c r="L122" s="53"/>
      <c r="M122" s="53"/>
      <c r="N122" s="54"/>
      <c r="O122" s="54"/>
      <c r="P122" s="54"/>
      <c r="Q122" s="54"/>
      <c r="R122" s="54"/>
      <c r="S122" s="54"/>
      <c r="T122" s="54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</row>
    <row r="123" spans="1:49" x14ac:dyDescent="0.25">
      <c r="E123" s="54"/>
      <c r="F123" s="1"/>
      <c r="G123" s="1"/>
      <c r="H123" s="1"/>
      <c r="I123" s="1"/>
      <c r="J123" s="1"/>
      <c r="K123" s="1"/>
      <c r="L123" s="1"/>
      <c r="M123" s="1"/>
      <c r="N123" s="16"/>
      <c r="O123" s="16"/>
      <c r="P123" s="16"/>
      <c r="Q123" s="16"/>
      <c r="R123" s="16"/>
      <c r="S123" s="16"/>
      <c r="T123" s="16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>
        <f t="shared" ref="AG123:AV123" si="16">AG14+AG42+AG68+AG85+AG86+AG87+AG88+AG89+AG90+AG91+AG92+AG93+AG94+AG95+AG96+AG97+AG98+AG99+AG100+AG101+AG102+AG103+AG104+AG105+AG106+AG107+AG108+AG109+AG110+AG111</f>
        <v>17838990</v>
      </c>
      <c r="AH123" s="2">
        <f t="shared" si="16"/>
        <v>18684050</v>
      </c>
      <c r="AI123" s="2">
        <f t="shared" si="16"/>
        <v>18736680</v>
      </c>
      <c r="AJ123" s="2">
        <f t="shared" si="16"/>
        <v>18736680</v>
      </c>
      <c r="AK123" s="2">
        <f t="shared" si="16"/>
        <v>18736680</v>
      </c>
      <c r="AL123" s="2">
        <f t="shared" si="16"/>
        <v>18736680</v>
      </c>
      <c r="AM123" s="2">
        <f t="shared" si="16"/>
        <v>18391590</v>
      </c>
      <c r="AN123" s="2">
        <f t="shared" si="16"/>
        <v>17394473</v>
      </c>
      <c r="AO123" s="2">
        <f t="shared" si="16"/>
        <v>17221680</v>
      </c>
      <c r="AP123" s="2">
        <f t="shared" si="16"/>
        <v>13109184</v>
      </c>
      <c r="AQ123" s="2">
        <f t="shared" si="16"/>
        <v>4818503</v>
      </c>
      <c r="AR123" s="2">
        <f t="shared" si="16"/>
        <v>3121250</v>
      </c>
      <c r="AS123" s="2">
        <f t="shared" si="16"/>
        <v>3078360</v>
      </c>
      <c r="AT123" s="2">
        <f t="shared" si="16"/>
        <v>2056859</v>
      </c>
      <c r="AU123" s="2"/>
      <c r="AV123" s="2" t="e">
        <f t="shared" si="16"/>
        <v>#REF!</v>
      </c>
      <c r="AW123" s="40">
        <f>SUM(N123:T123)</f>
        <v>0</v>
      </c>
    </row>
    <row r="124" spans="1:49" x14ac:dyDescent="0.25">
      <c r="E124" s="54"/>
      <c r="F124" s="1"/>
      <c r="G124" s="1"/>
      <c r="H124" s="1"/>
      <c r="I124" s="1"/>
      <c r="J124" s="1"/>
      <c r="K124" s="1"/>
      <c r="L124" s="1"/>
      <c r="M124" s="1"/>
      <c r="N124" s="43"/>
      <c r="O124" s="43"/>
      <c r="P124" s="43"/>
      <c r="Q124" s="43"/>
      <c r="R124" s="43"/>
      <c r="S124" s="43"/>
      <c r="T124" s="43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>
        <f t="shared" ref="AG124:AS124" si="17">AG6+AG7+AG8+AG9+AG10+AG11+AG12+AG13+AG15+AG16+AG17+AG18+AG19+AG20+AG21+AG22+AG23+AG24+AG25+AG26+AG27+AG28+AG29+AG30+AG31+AG32+AG33+AG34+AG35+AG36+AG37+AG38+AG39+AG40+AG41+AG43+AG44+AG45+AG46+AG47+AG48+AG49+AG50+AG51+AG52+AG53+AG54+AG55+AG56+AG57+AG58+AG59+AG60+AG61+AG62+AG63+AG64+AG65+AG66+AG67+AG69+AG70+AG71+AG72+AG73+AG74+AG75+AG76+AG77+AG78+AG79+AG80+AG81+AG82+AG83+AG84+AG112+AG113</f>
        <v>63197012</v>
      </c>
      <c r="AH124" s="2">
        <f t="shared" si="17"/>
        <v>62110098</v>
      </c>
      <c r="AI124" s="2">
        <f t="shared" si="17"/>
        <v>61566072</v>
      </c>
      <c r="AJ124" s="2">
        <f t="shared" si="17"/>
        <v>62389152</v>
      </c>
      <c r="AK124" s="2">
        <f t="shared" si="17"/>
        <v>61653522</v>
      </c>
      <c r="AL124" s="2">
        <f t="shared" si="17"/>
        <v>62185872</v>
      </c>
      <c r="AM124" s="2">
        <f t="shared" si="17"/>
        <v>62185872</v>
      </c>
      <c r="AN124" s="2">
        <f t="shared" si="17"/>
        <v>61154192</v>
      </c>
      <c r="AO124" s="2">
        <f t="shared" si="17"/>
        <v>57331105</v>
      </c>
      <c r="AP124" s="2">
        <f t="shared" si="17"/>
        <v>52243608</v>
      </c>
      <c r="AQ124" s="2">
        <f t="shared" si="17"/>
        <v>39489487</v>
      </c>
      <c r="AR124" s="2">
        <f t="shared" si="17"/>
        <v>30958984</v>
      </c>
      <c r="AS124" s="2">
        <f t="shared" si="17"/>
        <v>22530759</v>
      </c>
      <c r="AT124" s="2">
        <f>AT6+AT7+AT8+AT9+AT10+AT11+AT12+AT13+AT15+AT16+AT17+AT18+AT19+AT20+AT21+AT22+AT23+AT24+AT25+AT26+AT27+AT28+AT29+AT30+AT31+AT32+AT33+AT34+AT35+AT36+AT37+AT38+AT39+AT40+AT41+AT43+AT44+AT45+AT46+AT47+AT48+AT49+AT50+AT51+AT52+AT53+AT54+AT55+AT56+AT57+AT58+AT59+AT60+AT61+AT62+AT63+AT64+AT65+AT66+AT67+AT69+AT70+AT71+AT72+AT73+AT74+AT75+AT76+AT77+AT78+AT79+AT80+AT81+AT82+AT83+AT84+AT112+AT113</f>
        <v>11069584</v>
      </c>
      <c r="AU124" s="2"/>
      <c r="AV124" s="2" t="e">
        <f t="shared" ref="AV124" si="18">AV6+AV7+AV8+AV9+AV10+AV11+AV12+AV13+AV15+AV16+AV17+AV18+AV19+AV20+AV21+AV22+AV23+AV24+AV25+AV26+AV27+AV28+AV29+AV30+AV31+AV32+AV33+AV34+AV35+AV36+AV37+AV38+AV39+AV40+AV41+AV43+AV44+AV45+AV46+AV47+AV48+AV49+AV50+AV51+AV52+AV53+AV54+AV55+AV56+AV57+AV58+AV59+AV60+AV61+AV62+AV63+AV64+AV65+AV66+AV67+AV69+AV70+AV71+AV72+AV73+AV74+AV75+AV76+AV77+AV78+AV79+AV80+AV81+AV82+AV83+AV84+AV112</f>
        <v>#REF!</v>
      </c>
      <c r="AW124" s="40">
        <f>SUM(N124:T124)</f>
        <v>0</v>
      </c>
    </row>
    <row r="125" spans="1:49" x14ac:dyDescent="0.25">
      <c r="E125" s="54"/>
      <c r="F125" s="1"/>
      <c r="G125" s="1"/>
      <c r="H125" s="1"/>
      <c r="I125" s="1"/>
      <c r="J125" s="1"/>
      <c r="K125" s="1"/>
      <c r="L125" s="1"/>
      <c r="M125" s="1"/>
      <c r="N125" s="55"/>
      <c r="O125" s="55"/>
      <c r="P125" s="55"/>
      <c r="Q125" s="55"/>
      <c r="R125" s="55"/>
      <c r="S125" s="55"/>
      <c r="T125" s="55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>
        <f t="shared" ref="AG125:AV125" si="19">AG123+AG124</f>
        <v>81036002</v>
      </c>
      <c r="AH125" s="2">
        <f t="shared" si="19"/>
        <v>80794148</v>
      </c>
      <c r="AI125" s="2">
        <f t="shared" si="19"/>
        <v>80302752</v>
      </c>
      <c r="AJ125" s="2">
        <f t="shared" si="19"/>
        <v>81125832</v>
      </c>
      <c r="AK125" s="2">
        <f t="shared" si="19"/>
        <v>80390202</v>
      </c>
      <c r="AL125" s="2">
        <f t="shared" si="19"/>
        <v>80922552</v>
      </c>
      <c r="AM125" s="2">
        <f t="shared" si="19"/>
        <v>80577462</v>
      </c>
      <c r="AN125" s="2">
        <f t="shared" si="19"/>
        <v>78548665</v>
      </c>
      <c r="AO125" s="2">
        <f t="shared" si="19"/>
        <v>74552785</v>
      </c>
      <c r="AP125" s="2">
        <f t="shared" si="19"/>
        <v>65352792</v>
      </c>
      <c r="AQ125" s="2">
        <f t="shared" si="19"/>
        <v>44307990</v>
      </c>
      <c r="AR125" s="2">
        <f t="shared" si="19"/>
        <v>34080234</v>
      </c>
      <c r="AS125" s="2">
        <f t="shared" si="19"/>
        <v>25609119</v>
      </c>
      <c r="AT125" s="2">
        <f t="shared" si="19"/>
        <v>13126443</v>
      </c>
      <c r="AU125" s="2"/>
      <c r="AV125" s="2" t="e">
        <f t="shared" si="19"/>
        <v>#REF!</v>
      </c>
    </row>
    <row r="126" spans="1:49" x14ac:dyDescent="0.25"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</row>
    <row r="127" spans="1:49" x14ac:dyDescent="0.25"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</row>
    <row r="128" spans="1:49" x14ac:dyDescent="0.25"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</row>
    <row r="129" spans="20:47" x14ac:dyDescent="0.25"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</row>
    <row r="130" spans="20:47" x14ac:dyDescent="0.25"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</row>
    <row r="131" spans="20:47" x14ac:dyDescent="0.25"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</row>
    <row r="132" spans="20:47" x14ac:dyDescent="0.25"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</row>
    <row r="133" spans="20:47" x14ac:dyDescent="0.25"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</row>
    <row r="134" spans="20:47" x14ac:dyDescent="0.25"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</row>
    <row r="135" spans="20:47" x14ac:dyDescent="0.25"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</row>
    <row r="136" spans="20:47" x14ac:dyDescent="0.25"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</row>
    <row r="137" spans="20:47" x14ac:dyDescent="0.25"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</row>
    <row r="138" spans="20:47" x14ac:dyDescent="0.25"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</row>
    <row r="139" spans="20:47" x14ac:dyDescent="0.25"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</row>
    <row r="140" spans="20:47" x14ac:dyDescent="0.25"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</row>
    <row r="141" spans="20:47" x14ac:dyDescent="0.25"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</row>
    <row r="142" spans="20:47" x14ac:dyDescent="0.25"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</row>
    <row r="143" spans="20:47" x14ac:dyDescent="0.25"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</row>
    <row r="144" spans="20:47" x14ac:dyDescent="0.25"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</row>
    <row r="145" spans="20:47" x14ac:dyDescent="0.25"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</row>
    <row r="146" spans="20:47" x14ac:dyDescent="0.25"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</row>
    <row r="147" spans="20:47" x14ac:dyDescent="0.25"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</row>
    <row r="148" spans="20:47" x14ac:dyDescent="0.25"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</row>
    <row r="149" spans="20:47" x14ac:dyDescent="0.25"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</row>
    <row r="150" spans="20:47" x14ac:dyDescent="0.25"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</row>
    <row r="151" spans="20:47" x14ac:dyDescent="0.25"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</row>
    <row r="152" spans="20:47" x14ac:dyDescent="0.25"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</row>
    <row r="153" spans="20:47" x14ac:dyDescent="0.25"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</row>
  </sheetData>
  <autoFilter ref="A5:AW116" xr:uid="{00000000-0009-0000-0000-000000000000}"/>
  <mergeCells count="2">
    <mergeCell ref="D1:J2"/>
    <mergeCell ref="C4:E4"/>
  </mergeCells>
  <phoneticPr fontId="20" type="noConversion"/>
  <pageMargins left="0.31496062992125984" right="0.31496062992125984" top="0.35433070866141736" bottom="0" header="0.31496062992125984" footer="0.31496062992125984"/>
  <pageSetup paperSize="9" scale="20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Айгерим Т. Жумакаева</dc:creator>
  <cp:lastModifiedBy>Нурила Балабекова</cp:lastModifiedBy>
  <cp:lastPrinted>2026-07-08T09:43:07Z</cp:lastPrinted>
  <dcterms:created xsi:type="dcterms:W3CDTF">2015-06-05T18:19:34Z</dcterms:created>
  <dcterms:modified xsi:type="dcterms:W3CDTF">2026-09-21T04:46:46Z</dcterms:modified>
</cp:coreProperties>
</file>